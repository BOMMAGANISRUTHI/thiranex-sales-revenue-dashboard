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'Sales Data'!$A$1:$L$301</definedName>
    <definedName name="_xlnm.Print_Area" localSheetId="1">'Dashboard'!$A$1:$K$42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-mmm-yyyy"/>
    <numFmt numFmtId="166" formatCode="₹#,##0.00"/>
    <numFmt numFmtId="167" formatCode="mmm"/>
    <numFmt numFmtId="168" formatCode="₹#,##0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i val="1"/>
      <color rgb="0064748B"/>
      <sz val="10"/>
    </font>
    <font>
      <b val="1"/>
      <color rgb="0017365D"/>
    </font>
    <font>
      <b val="1"/>
      <color rgb="002563EB"/>
    </font>
    <font>
      <b val="1"/>
      <color rgb="00FFFFFF"/>
      <sz val="10"/>
    </font>
    <font>
      <b val="1"/>
      <color rgb="0017365D"/>
      <sz val="18"/>
    </font>
    <font>
      <b val="1"/>
      <color rgb="00FFFFFF"/>
      <sz val="16"/>
    </font>
    <font>
      <b val="1"/>
      <color rgb="00DC2626"/>
    </font>
  </fonts>
  <fills count="8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3" borderId="0" pivotButton="0" quotePrefix="0" xfId="0"/>
    <xf numFmtId="0" fontId="0" fillId="3" borderId="0" pivotButton="0" quotePrefix="0" xfId="0"/>
    <xf numFmtId="166" fontId="0" fillId="3" borderId="0" pivotButton="0" quotePrefix="0" xfId="0"/>
    <xf numFmtId="9" fontId="0" fillId="3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applyAlignment="1" pivotButton="0" quotePrefix="0" xfId="0">
      <alignment horizontal="center"/>
    </xf>
    <xf numFmtId="168" fontId="0" fillId="0" borderId="0" pivotButton="0" quotePrefix="0" xfId="0"/>
    <xf numFmtId="0" fontId="4" fillId="0" borderId="0" pivotButton="0" quotePrefix="0" xfId="0"/>
    <xf numFmtId="0" fontId="5" fillId="4" borderId="0" applyAlignment="1" pivotButton="0" quotePrefix="0" xfId="0">
      <alignment horizontal="center"/>
    </xf>
    <xf numFmtId="0" fontId="6" fillId="5" borderId="0" applyAlignment="1" pivotButton="0" quotePrefix="0" xfId="0">
      <alignment horizontal="center" vertical="center"/>
    </xf>
    <xf numFmtId="168" fontId="7" fillId="6" borderId="0" applyAlignment="1" pivotButton="0" quotePrefix="0" xfId="0">
      <alignment horizontal="center" vertical="center"/>
    </xf>
    <xf numFmtId="3" fontId="7" fillId="6" borderId="0" applyAlignment="1" pivotButton="0" quotePrefix="0" xfId="0">
      <alignment horizontal="center" vertical="center"/>
    </xf>
    <xf numFmtId="167" fontId="0" fillId="7" borderId="0" pivotButton="0" quotePrefix="0" xfId="0"/>
    <xf numFmtId="166" fontId="0" fillId="7" borderId="0" pivotButton="0" quotePrefix="0" xfId="0"/>
    <xf numFmtId="0" fontId="0" fillId="7" borderId="0" pivotButton="0" quotePrefix="0" xfId="0"/>
    <xf numFmtId="0" fontId="8" fillId="2" borderId="0" applyAlignment="1" pivotButton="0" quotePrefix="0" xfId="0">
      <alignment horizontal="center"/>
    </xf>
    <xf numFmtId="0" fontId="5" fillId="7" borderId="0" pivotButton="0" quotePrefix="0" xfId="0"/>
    <xf numFmtId="0" fontId="0" fillId="7" borderId="0" applyAlignment="1" pivotButton="0" quotePrefix="0" xfId="0">
      <alignment vertical="top" wrapText="1"/>
    </xf>
    <xf numFmtId="0" fontId="9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Summary'!$A$2:$A$13</f>
            </numRef>
          </cat>
          <val>
            <numRef>
              <f>'Monthly Summary'!$B$2:$B$13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'Dashboard'!$J$2:$J$13</f>
            </numRef>
          </cat>
          <val>
            <numRef>
              <f>'Dashboard'!$K$2:$K$13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Category</a:t>
            </a:r>
          </a:p>
        </rich>
      </tx>
    </title>
    <plotArea>
      <pieChart>
        <varyColors val="1"/>
        <ser>
          <idx val="0"/>
          <order val="0"/>
          <tx>
            <strRef>
              <f>'Dashboard'!K16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'Dashboard'!$J$17:$J$20</f>
            </numRef>
          </cat>
          <val>
            <numRef>
              <f>'Dashboard'!$K$17:$K$20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9</row>
      <rowOff>0</rowOff>
    </from>
    <ext cx="468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L301" headerRowCount="1">
  <autoFilter ref="A1:L301"/>
  <tableColumns count="12">
    <tableColumn id="1" name="Order Date"/>
    <tableColumn id="2" name="Order ID"/>
    <tableColumn id="3" name="Product"/>
    <tableColumn id="4" name="Category"/>
    <tableColumn id="5" name="Region"/>
    <tableColumn id="6" name="Quantity"/>
    <tableColumn id="7" name="Unit Price (₹)"/>
    <tableColumn id="8" name="Discount %"/>
    <tableColumn id="9" name="Revenue (₹)"/>
    <tableColumn id="10" name="Cost (₹)"/>
    <tableColumn id="11" name="Profit (₹)"/>
    <tableColumn id="12" name="Customer Segmen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0" customWidth="1" min="3" max="3"/>
    <col width="17" customWidth="1" min="4" max="4"/>
    <col width="13" customWidth="1" min="5" max="5"/>
    <col width="12" customWidth="1" min="6" max="6"/>
    <col width="17" customWidth="1" min="7" max="7"/>
    <col width="13" customWidth="1" min="8" max="8"/>
    <col width="17" customWidth="1" min="9" max="9"/>
    <col width="15" customWidth="1" min="10" max="10"/>
    <col width="15" customWidth="1" min="11" max="11"/>
    <col width="20" customWidth="1" min="12" max="12"/>
  </cols>
  <sheetData>
    <row r="1">
      <c r="A1" s="1" t="inlineStr">
        <is>
          <t>Order Date</t>
        </is>
      </c>
      <c r="B1" s="1" t="inlineStr">
        <is>
          <t>Order ID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Region</t>
        </is>
      </c>
      <c r="F1" s="1" t="inlineStr">
        <is>
          <t>Quantity</t>
        </is>
      </c>
      <c r="G1" s="1" t="inlineStr">
        <is>
          <t>Unit Price (₹)</t>
        </is>
      </c>
      <c r="H1" s="1" t="inlineStr">
        <is>
          <t>Discount %</t>
        </is>
      </c>
      <c r="I1" s="1" t="inlineStr">
        <is>
          <t>Revenue (₹)</t>
        </is>
      </c>
      <c r="J1" s="1" t="inlineStr">
        <is>
          <t>Cost (₹)</t>
        </is>
      </c>
      <c r="K1" s="1" t="inlineStr">
        <is>
          <t>Profit (₹)</t>
        </is>
      </c>
      <c r="L1" s="1" t="inlineStr">
        <is>
          <t>Customer Segment</t>
        </is>
      </c>
    </row>
    <row r="2">
      <c r="A2" s="2" t="n">
        <v>45985</v>
      </c>
      <c r="B2" s="3" t="inlineStr">
        <is>
          <t>TH-0001</t>
        </is>
      </c>
      <c r="C2" s="3" t="inlineStr">
        <is>
          <t>Wireless Mouse</t>
        </is>
      </c>
      <c r="D2" s="3" t="inlineStr">
        <is>
          <t>Accessories</t>
        </is>
      </c>
      <c r="E2" s="3" t="inlineStr">
        <is>
          <t>South</t>
        </is>
      </c>
      <c r="F2" s="3" t="n">
        <v>1</v>
      </c>
      <c r="G2" s="4" t="n">
        <v>850</v>
      </c>
      <c r="H2" s="5" t="n">
        <v>0.05</v>
      </c>
      <c r="I2" s="4" t="n">
        <v>807.5</v>
      </c>
      <c r="J2" s="4" t="n">
        <v>387.6</v>
      </c>
      <c r="K2" s="4" t="n">
        <v>419.9</v>
      </c>
      <c r="L2" s="3" t="inlineStr">
        <is>
          <t>Consumer</t>
        </is>
      </c>
    </row>
    <row r="3">
      <c r="A3" s="6" t="n">
        <v>45729</v>
      </c>
      <c r="B3" t="inlineStr">
        <is>
          <t>TH-0002</t>
        </is>
      </c>
      <c r="C3" t="inlineStr">
        <is>
          <t>Desk Lamp</t>
        </is>
      </c>
      <c r="D3" t="inlineStr">
        <is>
          <t>Furniture</t>
        </is>
      </c>
      <c r="E3" t="inlineStr">
        <is>
          <t>North</t>
        </is>
      </c>
      <c r="F3" t="n">
        <v>1</v>
      </c>
      <c r="G3" s="7" t="n">
        <v>1450</v>
      </c>
      <c r="H3" s="8" t="n">
        <v>0.12</v>
      </c>
      <c r="I3" s="7" t="n">
        <v>1276</v>
      </c>
      <c r="J3" s="7" t="n">
        <v>535.92</v>
      </c>
      <c r="K3" s="7" t="n">
        <v>740.08</v>
      </c>
      <c r="L3" t="inlineStr">
        <is>
          <t>Small Business</t>
        </is>
      </c>
    </row>
    <row r="4">
      <c r="A4" s="2" t="n">
        <v>45874</v>
      </c>
      <c r="B4" s="3" t="inlineStr">
        <is>
          <t>TH-0003</t>
        </is>
      </c>
      <c r="C4" s="3" t="inlineStr">
        <is>
          <t>Laptop</t>
        </is>
      </c>
      <c r="D4" s="3" t="inlineStr">
        <is>
          <t>Electronics</t>
        </is>
      </c>
      <c r="E4" s="3" t="inlineStr">
        <is>
          <t>South</t>
        </is>
      </c>
      <c r="F4" s="3" t="n">
        <v>1</v>
      </c>
      <c r="G4" s="4" t="n">
        <v>42000</v>
      </c>
      <c r="H4" s="5" t="n">
        <v>0.02</v>
      </c>
      <c r="I4" s="4" t="n">
        <v>41160</v>
      </c>
      <c r="J4" s="4" t="n">
        <v>29635.2</v>
      </c>
      <c r="K4" s="4" t="n">
        <v>11524.8</v>
      </c>
      <c r="L4" s="3" t="inlineStr">
        <is>
          <t>Small Business</t>
        </is>
      </c>
    </row>
    <row r="5">
      <c r="A5" s="6" t="n">
        <v>45966</v>
      </c>
      <c r="B5" t="inlineStr">
        <is>
          <t>TH-0004</t>
        </is>
      </c>
      <c r="C5" t="inlineStr">
        <is>
          <t>Laptop</t>
        </is>
      </c>
      <c r="D5" t="inlineStr">
        <is>
          <t>Electronics</t>
        </is>
      </c>
      <c r="E5" t="inlineStr">
        <is>
          <t>West</t>
        </is>
      </c>
      <c r="F5" t="n">
        <v>3</v>
      </c>
      <c r="G5" s="7" t="n">
        <v>42000</v>
      </c>
      <c r="H5" s="8" t="n">
        <v>0.12</v>
      </c>
      <c r="I5" s="7" t="n">
        <v>110880</v>
      </c>
      <c r="J5" s="7" t="n">
        <v>79833.60000000001</v>
      </c>
      <c r="K5" s="7" t="n">
        <v>31046.4</v>
      </c>
      <c r="L5" t="inlineStr">
        <is>
          <t>Consumer</t>
        </is>
      </c>
    </row>
    <row r="6">
      <c r="A6" s="2" t="n">
        <v>45887</v>
      </c>
      <c r="B6" s="3" t="inlineStr">
        <is>
          <t>TH-0005</t>
        </is>
      </c>
      <c r="C6" s="3" t="inlineStr">
        <is>
          <t>Notebook Pack</t>
        </is>
      </c>
      <c r="D6" s="3" t="inlineStr">
        <is>
          <t>Stationery</t>
        </is>
      </c>
      <c r="E6" s="3" t="inlineStr">
        <is>
          <t>North</t>
        </is>
      </c>
      <c r="F6" s="3" t="n">
        <v>2</v>
      </c>
      <c r="G6" s="4" t="n">
        <v>320</v>
      </c>
      <c r="H6" s="5" t="n">
        <v>0.15</v>
      </c>
      <c r="I6" s="4" t="n">
        <v>544</v>
      </c>
      <c r="J6" s="4" t="n">
        <v>190.4</v>
      </c>
      <c r="K6" s="4" t="n">
        <v>353.6</v>
      </c>
      <c r="L6" s="3" t="inlineStr">
        <is>
          <t>Consumer</t>
        </is>
      </c>
    </row>
    <row r="7">
      <c r="A7" s="6" t="n">
        <v>46015</v>
      </c>
      <c r="B7" t="inlineStr">
        <is>
          <t>TH-0006</t>
        </is>
      </c>
      <c r="C7" t="inlineStr">
        <is>
          <t>Headphones</t>
        </is>
      </c>
      <c r="D7" t="inlineStr">
        <is>
          <t>Electronics</t>
        </is>
      </c>
      <c r="E7" t="inlineStr">
        <is>
          <t>South</t>
        </is>
      </c>
      <c r="F7" t="n">
        <v>2</v>
      </c>
      <c r="G7" s="7" t="n">
        <v>3200</v>
      </c>
      <c r="H7" s="8" t="n">
        <v>0.02</v>
      </c>
      <c r="I7" s="7" t="n">
        <v>6272</v>
      </c>
      <c r="J7" s="7" t="n">
        <v>3888.64</v>
      </c>
      <c r="K7" s="7" t="n">
        <v>2383.36</v>
      </c>
      <c r="L7" t="inlineStr">
        <is>
          <t>Corporate</t>
        </is>
      </c>
    </row>
    <row r="8">
      <c r="A8" s="2" t="n">
        <v>45710</v>
      </c>
      <c r="B8" s="3" t="inlineStr">
        <is>
          <t>TH-0007</t>
        </is>
      </c>
      <c r="C8" s="3" t="inlineStr">
        <is>
          <t>Wireless Mouse</t>
        </is>
      </c>
      <c r="D8" s="3" t="inlineStr">
        <is>
          <t>Accessories</t>
        </is>
      </c>
      <c r="E8" s="3" t="inlineStr">
        <is>
          <t>East</t>
        </is>
      </c>
      <c r="F8" s="3" t="n">
        <v>2</v>
      </c>
      <c r="G8" s="4" t="n">
        <v>850</v>
      </c>
      <c r="H8" s="5" t="n">
        <v>0.05</v>
      </c>
      <c r="I8" s="4" t="n">
        <v>1615</v>
      </c>
      <c r="J8" s="4" t="n">
        <v>775.2</v>
      </c>
      <c r="K8" s="4" t="n">
        <v>839.8</v>
      </c>
      <c r="L8" s="3" t="inlineStr">
        <is>
          <t>Small Business</t>
        </is>
      </c>
    </row>
    <row r="9">
      <c r="A9" s="6" t="n">
        <v>45793</v>
      </c>
      <c r="B9" t="inlineStr">
        <is>
          <t>TH-0008</t>
        </is>
      </c>
      <c r="C9" t="inlineStr">
        <is>
          <t>Laptop</t>
        </is>
      </c>
      <c r="D9" t="inlineStr">
        <is>
          <t>Electronics</t>
        </is>
      </c>
      <c r="E9" t="inlineStr">
        <is>
          <t>North</t>
        </is>
      </c>
      <c r="F9" t="n">
        <v>4</v>
      </c>
      <c r="G9" s="7" t="n">
        <v>42000</v>
      </c>
      <c r="H9" s="8" t="n">
        <v>0.1</v>
      </c>
      <c r="I9" s="7" t="n">
        <v>151200</v>
      </c>
      <c r="J9" s="7" t="n">
        <v>108864</v>
      </c>
      <c r="K9" s="7" t="n">
        <v>42336</v>
      </c>
      <c r="L9" t="inlineStr">
        <is>
          <t>Corporate</t>
        </is>
      </c>
    </row>
    <row r="10">
      <c r="A10" s="2" t="n">
        <v>45698</v>
      </c>
      <c r="B10" s="3" t="inlineStr">
        <is>
          <t>TH-0009</t>
        </is>
      </c>
      <c r="C10" s="3" t="inlineStr">
        <is>
          <t>Webcam</t>
        </is>
      </c>
      <c r="D10" s="3" t="inlineStr">
        <is>
          <t>Electronics</t>
        </is>
      </c>
      <c r="E10" s="3" t="inlineStr">
        <is>
          <t>East</t>
        </is>
      </c>
      <c r="F10" s="3" t="n">
        <v>2</v>
      </c>
      <c r="G10" s="4" t="n">
        <v>4100</v>
      </c>
      <c r="H10" s="5" t="n">
        <v>0.12</v>
      </c>
      <c r="I10" s="4" t="n">
        <v>7216</v>
      </c>
      <c r="J10" s="4" t="n">
        <v>4329.6</v>
      </c>
      <c r="K10" s="4" t="n">
        <v>2886.4</v>
      </c>
      <c r="L10" s="3" t="inlineStr">
        <is>
          <t>Small Business</t>
        </is>
      </c>
    </row>
    <row r="11">
      <c r="A11" s="6" t="n">
        <v>45756</v>
      </c>
      <c r="B11" t="inlineStr">
        <is>
          <t>TH-0010</t>
        </is>
      </c>
      <c r="C11" t="inlineStr">
        <is>
          <t>Desk Lamp</t>
        </is>
      </c>
      <c r="D11" t="inlineStr">
        <is>
          <t>Furniture</t>
        </is>
      </c>
      <c r="E11" t="inlineStr">
        <is>
          <t>South</t>
        </is>
      </c>
      <c r="F11" t="n">
        <v>1</v>
      </c>
      <c r="G11" s="7" t="n">
        <v>1450</v>
      </c>
      <c r="H11" s="8" t="n">
        <v>0.12</v>
      </c>
      <c r="I11" s="7" t="n">
        <v>1276</v>
      </c>
      <c r="J11" s="7" t="n">
        <v>535.92</v>
      </c>
      <c r="K11" s="7" t="n">
        <v>740.08</v>
      </c>
      <c r="L11" t="inlineStr">
        <is>
          <t>Corporate</t>
        </is>
      </c>
    </row>
    <row r="12">
      <c r="A12" s="2" t="n">
        <v>45698</v>
      </c>
      <c r="B12" s="3" t="inlineStr">
        <is>
          <t>TH-0011</t>
        </is>
      </c>
      <c r="C12" s="3" t="inlineStr">
        <is>
          <t>Monitor</t>
        </is>
      </c>
      <c r="D12" s="3" t="inlineStr">
        <is>
          <t>Electronics</t>
        </is>
      </c>
      <c r="E12" s="3" t="inlineStr">
        <is>
          <t>East</t>
        </is>
      </c>
      <c r="F12" s="3" t="n">
        <v>6</v>
      </c>
      <c r="G12" s="4" t="n">
        <v>12500</v>
      </c>
      <c r="H12" s="5" t="n">
        <v>0.08</v>
      </c>
      <c r="I12" s="4" t="n">
        <v>69000</v>
      </c>
      <c r="J12" s="4" t="n">
        <v>46230</v>
      </c>
      <c r="K12" s="4" t="n">
        <v>22770</v>
      </c>
      <c r="L12" s="3" t="inlineStr">
        <is>
          <t>Corporate</t>
        </is>
      </c>
    </row>
    <row r="13">
      <c r="A13" s="6" t="n">
        <v>45983</v>
      </c>
      <c r="B13" t="inlineStr">
        <is>
          <t>TH-0012</t>
        </is>
      </c>
      <c r="C13" t="inlineStr">
        <is>
          <t>Desk</t>
        </is>
      </c>
      <c r="D13" t="inlineStr">
        <is>
          <t>Furniture</t>
        </is>
      </c>
      <c r="E13" t="inlineStr">
        <is>
          <t>South</t>
        </is>
      </c>
      <c r="F13" t="n">
        <v>1</v>
      </c>
      <c r="G13" s="7" t="n">
        <v>9500</v>
      </c>
      <c r="H13" s="8" t="n">
        <v>0.05</v>
      </c>
      <c r="I13" s="7" t="n">
        <v>9025</v>
      </c>
      <c r="J13" s="7" t="n">
        <v>4963.75</v>
      </c>
      <c r="K13" s="7" t="n">
        <v>4061.25</v>
      </c>
      <c r="L13" t="inlineStr">
        <is>
          <t>Small Business</t>
        </is>
      </c>
    </row>
    <row r="14">
      <c r="A14" s="2" t="n">
        <v>45794</v>
      </c>
      <c r="B14" s="3" t="inlineStr">
        <is>
          <t>TH-0013</t>
        </is>
      </c>
      <c r="C14" s="3" t="inlineStr">
        <is>
          <t>Desk Lamp</t>
        </is>
      </c>
      <c r="D14" s="3" t="inlineStr">
        <is>
          <t>Furniture</t>
        </is>
      </c>
      <c r="E14" s="3" t="inlineStr">
        <is>
          <t>North</t>
        </is>
      </c>
      <c r="F14" s="3" t="n">
        <v>8</v>
      </c>
      <c r="G14" s="4" t="n">
        <v>1450</v>
      </c>
      <c r="H14" s="5" t="n">
        <v>0.12</v>
      </c>
      <c r="I14" s="4" t="n">
        <v>10208</v>
      </c>
      <c r="J14" s="4" t="n">
        <v>4287.36</v>
      </c>
      <c r="K14" s="4" t="n">
        <v>5920.64</v>
      </c>
      <c r="L14" s="3" t="inlineStr">
        <is>
          <t>Small Business</t>
        </is>
      </c>
    </row>
    <row r="15">
      <c r="A15" s="6" t="n">
        <v>45983</v>
      </c>
      <c r="B15" t="inlineStr">
        <is>
          <t>TH-0014</t>
        </is>
      </c>
      <c r="C15" t="inlineStr">
        <is>
          <t>Keyboard</t>
        </is>
      </c>
      <c r="D15" t="inlineStr">
        <is>
          <t>Accessories</t>
        </is>
      </c>
      <c r="E15" t="inlineStr">
        <is>
          <t>South</t>
        </is>
      </c>
      <c r="F15" t="n">
        <v>3</v>
      </c>
      <c r="G15" s="7" t="n">
        <v>1600</v>
      </c>
      <c r="H15" s="8" t="n">
        <v>0.02</v>
      </c>
      <c r="I15" s="7" t="n">
        <v>4704</v>
      </c>
      <c r="J15" s="7" t="n">
        <v>2446.08</v>
      </c>
      <c r="K15" s="7" t="n">
        <v>2257.92</v>
      </c>
      <c r="L15" t="inlineStr">
        <is>
          <t>Corporate</t>
        </is>
      </c>
    </row>
    <row r="16">
      <c r="A16" s="2" t="n">
        <v>45852</v>
      </c>
      <c r="B16" s="3" t="inlineStr">
        <is>
          <t>TH-0015</t>
        </is>
      </c>
      <c r="C16" s="3" t="inlineStr">
        <is>
          <t>Office Chair</t>
        </is>
      </c>
      <c r="D16" s="3" t="inlineStr">
        <is>
          <t>Furniture</t>
        </is>
      </c>
      <c r="E16" s="3" t="inlineStr">
        <is>
          <t>South</t>
        </is>
      </c>
      <c r="F16" s="3" t="n">
        <v>10</v>
      </c>
      <c r="G16" s="4" t="n">
        <v>7800</v>
      </c>
      <c r="H16" s="5" t="n">
        <v>0.12</v>
      </c>
      <c r="I16" s="4" t="n">
        <v>68640</v>
      </c>
      <c r="J16" s="4" t="n">
        <v>39811.2</v>
      </c>
      <c r="K16" s="4" t="n">
        <v>28828.8</v>
      </c>
      <c r="L16" s="3" t="inlineStr">
        <is>
          <t>Small Business</t>
        </is>
      </c>
    </row>
    <row r="17">
      <c r="A17" s="6" t="n">
        <v>45824</v>
      </c>
      <c r="B17" t="inlineStr">
        <is>
          <t>TH-0016</t>
        </is>
      </c>
      <c r="C17" t="inlineStr">
        <is>
          <t>Laptop</t>
        </is>
      </c>
      <c r="D17" t="inlineStr">
        <is>
          <t>Electronics</t>
        </is>
      </c>
      <c r="E17" t="inlineStr">
        <is>
          <t>East</t>
        </is>
      </c>
      <c r="F17" t="n">
        <v>2</v>
      </c>
      <c r="G17" s="7" t="n">
        <v>42000</v>
      </c>
      <c r="H17" s="8" t="n">
        <v>0</v>
      </c>
      <c r="I17" s="7" t="n">
        <v>84000</v>
      </c>
      <c r="J17" s="7" t="n">
        <v>60480</v>
      </c>
      <c r="K17" s="7" t="n">
        <v>23520</v>
      </c>
      <c r="L17" t="inlineStr">
        <is>
          <t>Corporate</t>
        </is>
      </c>
    </row>
    <row r="18">
      <c r="A18" s="2" t="n">
        <v>45795</v>
      </c>
      <c r="B18" s="3" t="inlineStr">
        <is>
          <t>TH-0017</t>
        </is>
      </c>
      <c r="C18" s="3" t="inlineStr">
        <is>
          <t>Wireless Mouse</t>
        </is>
      </c>
      <c r="D18" s="3" t="inlineStr">
        <is>
          <t>Accessories</t>
        </is>
      </c>
      <c r="E18" s="3" t="inlineStr">
        <is>
          <t>East</t>
        </is>
      </c>
      <c r="F18" s="3" t="n">
        <v>2</v>
      </c>
      <c r="G18" s="4" t="n">
        <v>850</v>
      </c>
      <c r="H18" s="5" t="n">
        <v>0.1</v>
      </c>
      <c r="I18" s="4" t="n">
        <v>1530</v>
      </c>
      <c r="J18" s="4" t="n">
        <v>734.4</v>
      </c>
      <c r="K18" s="4" t="n">
        <v>795.6</v>
      </c>
      <c r="L18" s="3" t="inlineStr">
        <is>
          <t>Consumer</t>
        </is>
      </c>
    </row>
    <row r="19">
      <c r="A19" s="6" t="n">
        <v>45993</v>
      </c>
      <c r="B19" t="inlineStr">
        <is>
          <t>TH-0018</t>
        </is>
      </c>
      <c r="C19" t="inlineStr">
        <is>
          <t>USB-C Hub</t>
        </is>
      </c>
      <c r="D19" t="inlineStr">
        <is>
          <t>Accessories</t>
        </is>
      </c>
      <c r="E19" t="inlineStr">
        <is>
          <t>West</t>
        </is>
      </c>
      <c r="F19" t="n">
        <v>2</v>
      </c>
      <c r="G19" s="7" t="n">
        <v>2400</v>
      </c>
      <c r="H19" s="8" t="n">
        <v>0.12</v>
      </c>
      <c r="I19" s="7" t="n">
        <v>4224</v>
      </c>
      <c r="J19" s="7" t="n">
        <v>1900.8</v>
      </c>
      <c r="K19" s="7" t="n">
        <v>2323.2</v>
      </c>
      <c r="L19" t="inlineStr">
        <is>
          <t>Consumer</t>
        </is>
      </c>
    </row>
    <row r="20">
      <c r="A20" s="2" t="n">
        <v>45793</v>
      </c>
      <c r="B20" s="3" t="inlineStr">
        <is>
          <t>TH-0019</t>
        </is>
      </c>
      <c r="C20" s="3" t="inlineStr">
        <is>
          <t>Keyboard</t>
        </is>
      </c>
      <c r="D20" s="3" t="inlineStr">
        <is>
          <t>Accessories</t>
        </is>
      </c>
      <c r="E20" s="3" t="inlineStr">
        <is>
          <t>East</t>
        </is>
      </c>
      <c r="F20" s="3" t="n">
        <v>2</v>
      </c>
      <c r="G20" s="4" t="n">
        <v>1600</v>
      </c>
      <c r="H20" s="5" t="n">
        <v>0.1</v>
      </c>
      <c r="I20" s="4" t="n">
        <v>2880</v>
      </c>
      <c r="J20" s="4" t="n">
        <v>1497.6</v>
      </c>
      <c r="K20" s="4" t="n">
        <v>1382.4</v>
      </c>
      <c r="L20" s="3" t="inlineStr">
        <is>
          <t>Small Business</t>
        </is>
      </c>
    </row>
    <row r="21">
      <c r="A21" s="6" t="n">
        <v>45957</v>
      </c>
      <c r="B21" t="inlineStr">
        <is>
          <t>TH-0020</t>
        </is>
      </c>
      <c r="C21" t="inlineStr">
        <is>
          <t>Headphones</t>
        </is>
      </c>
      <c r="D21" t="inlineStr">
        <is>
          <t>Electronics</t>
        </is>
      </c>
      <c r="E21" t="inlineStr">
        <is>
          <t>East</t>
        </is>
      </c>
      <c r="F21" t="n">
        <v>6</v>
      </c>
      <c r="G21" s="7" t="n">
        <v>3200</v>
      </c>
      <c r="H21" s="8" t="n">
        <v>0.08</v>
      </c>
      <c r="I21" s="7" t="n">
        <v>17664</v>
      </c>
      <c r="J21" s="7" t="n">
        <v>10951.68</v>
      </c>
      <c r="K21" s="7" t="n">
        <v>6712.32</v>
      </c>
      <c r="L21" t="inlineStr">
        <is>
          <t>Consumer</t>
        </is>
      </c>
    </row>
    <row r="22">
      <c r="A22" s="2" t="n">
        <v>45728</v>
      </c>
      <c r="B22" s="3" t="inlineStr">
        <is>
          <t>TH-0021</t>
        </is>
      </c>
      <c r="C22" s="3" t="inlineStr">
        <is>
          <t>Webcam</t>
        </is>
      </c>
      <c r="D22" s="3" t="inlineStr">
        <is>
          <t>Electronics</t>
        </is>
      </c>
      <c r="E22" s="3" t="inlineStr">
        <is>
          <t>North</t>
        </is>
      </c>
      <c r="F22" s="3" t="n">
        <v>3</v>
      </c>
      <c r="G22" s="4" t="n">
        <v>4100</v>
      </c>
      <c r="H22" s="5" t="n">
        <v>0.15</v>
      </c>
      <c r="I22" s="4" t="n">
        <v>10455</v>
      </c>
      <c r="J22" s="4" t="n">
        <v>6273</v>
      </c>
      <c r="K22" s="4" t="n">
        <v>4182</v>
      </c>
      <c r="L22" s="3" t="inlineStr">
        <is>
          <t>Consumer</t>
        </is>
      </c>
    </row>
    <row r="23">
      <c r="A23" s="6" t="n">
        <v>45736</v>
      </c>
      <c r="B23" t="inlineStr">
        <is>
          <t>TH-0022</t>
        </is>
      </c>
      <c r="C23" t="inlineStr">
        <is>
          <t>Printer</t>
        </is>
      </c>
      <c r="D23" t="inlineStr">
        <is>
          <t>Electronics</t>
        </is>
      </c>
      <c r="E23" t="inlineStr">
        <is>
          <t>West</t>
        </is>
      </c>
      <c r="F23" t="n">
        <v>1</v>
      </c>
      <c r="G23" s="7" t="n">
        <v>9800</v>
      </c>
      <c r="H23" s="8" t="n">
        <v>0.12</v>
      </c>
      <c r="I23" s="7" t="n">
        <v>8624</v>
      </c>
      <c r="J23" s="7" t="n">
        <v>5433.12</v>
      </c>
      <c r="K23" s="7" t="n">
        <v>3190.88</v>
      </c>
      <c r="L23" t="inlineStr">
        <is>
          <t>Small Business</t>
        </is>
      </c>
    </row>
    <row r="24">
      <c r="A24" s="2" t="n">
        <v>45690</v>
      </c>
      <c r="B24" s="3" t="inlineStr">
        <is>
          <t>TH-0023</t>
        </is>
      </c>
      <c r="C24" s="3" t="inlineStr">
        <is>
          <t>Headphones</t>
        </is>
      </c>
      <c r="D24" s="3" t="inlineStr">
        <is>
          <t>Electronics</t>
        </is>
      </c>
      <c r="E24" s="3" t="inlineStr">
        <is>
          <t>East</t>
        </is>
      </c>
      <c r="F24" s="3" t="n">
        <v>2</v>
      </c>
      <c r="G24" s="4" t="n">
        <v>3200</v>
      </c>
      <c r="H24" s="5" t="n">
        <v>0.08</v>
      </c>
      <c r="I24" s="4" t="n">
        <v>5888</v>
      </c>
      <c r="J24" s="4" t="n">
        <v>3650.56</v>
      </c>
      <c r="K24" s="4" t="n">
        <v>2237.44</v>
      </c>
      <c r="L24" s="3" t="inlineStr">
        <is>
          <t>Small Business</t>
        </is>
      </c>
    </row>
    <row r="25">
      <c r="A25" s="6" t="n">
        <v>45663</v>
      </c>
      <c r="B25" t="inlineStr">
        <is>
          <t>TH-0024</t>
        </is>
      </c>
      <c r="C25" t="inlineStr">
        <is>
          <t>Printer</t>
        </is>
      </c>
      <c r="D25" t="inlineStr">
        <is>
          <t>Electronics</t>
        </is>
      </c>
      <c r="E25" t="inlineStr">
        <is>
          <t>East</t>
        </is>
      </c>
      <c r="F25" t="n">
        <v>4</v>
      </c>
      <c r="G25" s="7" t="n">
        <v>9800</v>
      </c>
      <c r="H25" s="8" t="n">
        <v>0.12</v>
      </c>
      <c r="I25" s="7" t="n">
        <v>34496</v>
      </c>
      <c r="J25" s="7" t="n">
        <v>21732.48</v>
      </c>
      <c r="K25" s="7" t="n">
        <v>12763.52</v>
      </c>
      <c r="L25" t="inlineStr">
        <is>
          <t>Small Business</t>
        </is>
      </c>
    </row>
    <row r="26">
      <c r="A26" s="2" t="n">
        <v>45832</v>
      </c>
      <c r="B26" s="3" t="inlineStr">
        <is>
          <t>TH-0025</t>
        </is>
      </c>
      <c r="C26" s="3" t="inlineStr">
        <is>
          <t>Wireless Mouse</t>
        </is>
      </c>
      <c r="D26" s="3" t="inlineStr">
        <is>
          <t>Accessories</t>
        </is>
      </c>
      <c r="E26" s="3" t="inlineStr">
        <is>
          <t>West</t>
        </is>
      </c>
      <c r="F26" s="3" t="n">
        <v>2</v>
      </c>
      <c r="G26" s="4" t="n">
        <v>850</v>
      </c>
      <c r="H26" s="5" t="n">
        <v>0.02</v>
      </c>
      <c r="I26" s="4" t="n">
        <v>1666</v>
      </c>
      <c r="J26" s="4" t="n">
        <v>799.6799999999999</v>
      </c>
      <c r="K26" s="4" t="n">
        <v>866.3200000000001</v>
      </c>
      <c r="L26" s="3" t="inlineStr">
        <is>
          <t>Consumer</t>
        </is>
      </c>
    </row>
    <row r="27">
      <c r="A27" s="6" t="n">
        <v>45792</v>
      </c>
      <c r="B27" t="inlineStr">
        <is>
          <t>TH-0026</t>
        </is>
      </c>
      <c r="C27" t="inlineStr">
        <is>
          <t>Webcam</t>
        </is>
      </c>
      <c r="D27" t="inlineStr">
        <is>
          <t>Electronics</t>
        </is>
      </c>
      <c r="E27" t="inlineStr">
        <is>
          <t>North</t>
        </is>
      </c>
      <c r="F27" t="n">
        <v>5</v>
      </c>
      <c r="G27" s="7" t="n">
        <v>4100</v>
      </c>
      <c r="H27" s="8" t="n">
        <v>0.1</v>
      </c>
      <c r="I27" s="7" t="n">
        <v>18450</v>
      </c>
      <c r="J27" s="7" t="n">
        <v>11070</v>
      </c>
      <c r="K27" s="7" t="n">
        <v>7380</v>
      </c>
      <c r="L27" t="inlineStr">
        <is>
          <t>Small Business</t>
        </is>
      </c>
    </row>
    <row r="28">
      <c r="A28" s="2" t="n">
        <v>45810</v>
      </c>
      <c r="B28" s="3" t="inlineStr">
        <is>
          <t>TH-0027</t>
        </is>
      </c>
      <c r="C28" s="3" t="inlineStr">
        <is>
          <t>Printer</t>
        </is>
      </c>
      <c r="D28" s="3" t="inlineStr">
        <is>
          <t>Electronics</t>
        </is>
      </c>
      <c r="E28" s="3" t="inlineStr">
        <is>
          <t>South</t>
        </is>
      </c>
      <c r="F28" s="3" t="n">
        <v>3</v>
      </c>
      <c r="G28" s="4" t="n">
        <v>9800</v>
      </c>
      <c r="H28" s="5" t="n">
        <v>0.02</v>
      </c>
      <c r="I28" s="4" t="n">
        <v>28812</v>
      </c>
      <c r="J28" s="4" t="n">
        <v>18151.56</v>
      </c>
      <c r="K28" s="4" t="n">
        <v>10660.44</v>
      </c>
      <c r="L28" s="3" t="inlineStr">
        <is>
          <t>Corporate</t>
        </is>
      </c>
    </row>
    <row r="29">
      <c r="A29" s="6" t="n">
        <v>45740</v>
      </c>
      <c r="B29" t="inlineStr">
        <is>
          <t>TH-0028</t>
        </is>
      </c>
      <c r="C29" t="inlineStr">
        <is>
          <t>Webcam</t>
        </is>
      </c>
      <c r="D29" t="inlineStr">
        <is>
          <t>Electronics</t>
        </is>
      </c>
      <c r="E29" t="inlineStr">
        <is>
          <t>North</t>
        </is>
      </c>
      <c r="F29" t="n">
        <v>8</v>
      </c>
      <c r="G29" s="7" t="n">
        <v>4100</v>
      </c>
      <c r="H29" s="8" t="n">
        <v>0.1</v>
      </c>
      <c r="I29" s="7" t="n">
        <v>29520</v>
      </c>
      <c r="J29" s="7" t="n">
        <v>17712</v>
      </c>
      <c r="K29" s="7" t="n">
        <v>11808</v>
      </c>
      <c r="L29" t="inlineStr">
        <is>
          <t>Small Business</t>
        </is>
      </c>
    </row>
    <row r="30">
      <c r="A30" s="2" t="n">
        <v>45823</v>
      </c>
      <c r="B30" s="3" t="inlineStr">
        <is>
          <t>TH-0029</t>
        </is>
      </c>
      <c r="C30" s="3" t="inlineStr">
        <is>
          <t>USB-C Hub</t>
        </is>
      </c>
      <c r="D30" s="3" t="inlineStr">
        <is>
          <t>Accessories</t>
        </is>
      </c>
      <c r="E30" s="3" t="inlineStr">
        <is>
          <t>East</t>
        </is>
      </c>
      <c r="F30" s="3" t="n">
        <v>1</v>
      </c>
      <c r="G30" s="4" t="n">
        <v>2400</v>
      </c>
      <c r="H30" s="5" t="n">
        <v>0.05</v>
      </c>
      <c r="I30" s="4" t="n">
        <v>2280</v>
      </c>
      <c r="J30" s="4" t="n">
        <v>1026</v>
      </c>
      <c r="K30" s="4" t="n">
        <v>1254</v>
      </c>
      <c r="L30" s="3" t="inlineStr">
        <is>
          <t>Consumer</t>
        </is>
      </c>
    </row>
    <row r="31">
      <c r="A31" s="6" t="n">
        <v>45687</v>
      </c>
      <c r="B31" t="inlineStr">
        <is>
          <t>TH-0030</t>
        </is>
      </c>
      <c r="C31" t="inlineStr">
        <is>
          <t>Monitor</t>
        </is>
      </c>
      <c r="D31" t="inlineStr">
        <is>
          <t>Electronics</t>
        </is>
      </c>
      <c r="E31" t="inlineStr">
        <is>
          <t>North</t>
        </is>
      </c>
      <c r="F31" t="n">
        <v>6</v>
      </c>
      <c r="G31" s="7" t="n">
        <v>12500</v>
      </c>
      <c r="H31" s="8" t="n">
        <v>0</v>
      </c>
      <c r="I31" s="7" t="n">
        <v>75000</v>
      </c>
      <c r="J31" s="7" t="n">
        <v>50250</v>
      </c>
      <c r="K31" s="7" t="n">
        <v>24750</v>
      </c>
      <c r="L31" t="inlineStr">
        <is>
          <t>Small Business</t>
        </is>
      </c>
    </row>
    <row r="32">
      <c r="A32" s="2" t="n">
        <v>45906</v>
      </c>
      <c r="B32" s="3" t="inlineStr">
        <is>
          <t>TH-0031</t>
        </is>
      </c>
      <c r="C32" s="3" t="inlineStr">
        <is>
          <t>Wireless Mouse</t>
        </is>
      </c>
      <c r="D32" s="3" t="inlineStr">
        <is>
          <t>Accessories</t>
        </is>
      </c>
      <c r="E32" s="3" t="inlineStr">
        <is>
          <t>South</t>
        </is>
      </c>
      <c r="F32" s="3" t="n">
        <v>10</v>
      </c>
      <c r="G32" s="4" t="n">
        <v>850</v>
      </c>
      <c r="H32" s="5" t="n">
        <v>0.1</v>
      </c>
      <c r="I32" s="4" t="n">
        <v>7650</v>
      </c>
      <c r="J32" s="4" t="n">
        <v>3672</v>
      </c>
      <c r="K32" s="4" t="n">
        <v>3978</v>
      </c>
      <c r="L32" s="3" t="inlineStr">
        <is>
          <t>Consumer</t>
        </is>
      </c>
    </row>
    <row r="33">
      <c r="A33" s="6" t="n">
        <v>45995</v>
      </c>
      <c r="B33" t="inlineStr">
        <is>
          <t>TH-0032</t>
        </is>
      </c>
      <c r="C33" t="inlineStr">
        <is>
          <t>USB-C Hub</t>
        </is>
      </c>
      <c r="D33" t="inlineStr">
        <is>
          <t>Accessories</t>
        </is>
      </c>
      <c r="E33" t="inlineStr">
        <is>
          <t>East</t>
        </is>
      </c>
      <c r="F33" t="n">
        <v>8</v>
      </c>
      <c r="G33" s="7" t="n">
        <v>2400</v>
      </c>
      <c r="H33" s="8" t="n">
        <v>0.02</v>
      </c>
      <c r="I33" s="7" t="n">
        <v>18816</v>
      </c>
      <c r="J33" s="7" t="n">
        <v>8467.200000000001</v>
      </c>
      <c r="K33" s="7" t="n">
        <v>10348.8</v>
      </c>
      <c r="L33" t="inlineStr">
        <is>
          <t>Small Business</t>
        </is>
      </c>
    </row>
    <row r="34">
      <c r="A34" s="2" t="n">
        <v>45968</v>
      </c>
      <c r="B34" s="3" t="inlineStr">
        <is>
          <t>TH-0033</t>
        </is>
      </c>
      <c r="C34" s="3" t="inlineStr">
        <is>
          <t>Headphones</t>
        </is>
      </c>
      <c r="D34" s="3" t="inlineStr">
        <is>
          <t>Electronics</t>
        </is>
      </c>
      <c r="E34" s="3" t="inlineStr">
        <is>
          <t>South</t>
        </is>
      </c>
      <c r="F34" s="3" t="n">
        <v>10</v>
      </c>
      <c r="G34" s="4" t="n">
        <v>3200</v>
      </c>
      <c r="H34" s="5" t="n">
        <v>0.1</v>
      </c>
      <c r="I34" s="4" t="n">
        <v>28800</v>
      </c>
      <c r="J34" s="4" t="n">
        <v>17856</v>
      </c>
      <c r="K34" s="4" t="n">
        <v>10944</v>
      </c>
      <c r="L34" s="3" t="inlineStr">
        <is>
          <t>Small Business</t>
        </is>
      </c>
    </row>
    <row r="35">
      <c r="A35" s="6" t="n">
        <v>45817</v>
      </c>
      <c r="B35" t="inlineStr">
        <is>
          <t>TH-0034</t>
        </is>
      </c>
      <c r="C35" t="inlineStr">
        <is>
          <t>Headphones</t>
        </is>
      </c>
      <c r="D35" t="inlineStr">
        <is>
          <t>Electronics</t>
        </is>
      </c>
      <c r="E35" t="inlineStr">
        <is>
          <t>East</t>
        </is>
      </c>
      <c r="F35" t="n">
        <v>10</v>
      </c>
      <c r="G35" s="7" t="n">
        <v>3200</v>
      </c>
      <c r="H35" s="8" t="n">
        <v>0.12</v>
      </c>
      <c r="I35" s="7" t="n">
        <v>28160</v>
      </c>
      <c r="J35" s="7" t="n">
        <v>17459.2</v>
      </c>
      <c r="K35" s="7" t="n">
        <v>10700.8</v>
      </c>
      <c r="L35" t="inlineStr">
        <is>
          <t>Corporate</t>
        </is>
      </c>
    </row>
    <row r="36">
      <c r="A36" s="2" t="n">
        <v>45922</v>
      </c>
      <c r="B36" s="3" t="inlineStr">
        <is>
          <t>TH-0035</t>
        </is>
      </c>
      <c r="C36" s="3" t="inlineStr">
        <is>
          <t>USB-C Hub</t>
        </is>
      </c>
      <c r="D36" s="3" t="inlineStr">
        <is>
          <t>Accessories</t>
        </is>
      </c>
      <c r="E36" s="3" t="inlineStr">
        <is>
          <t>North</t>
        </is>
      </c>
      <c r="F36" s="3" t="n">
        <v>1</v>
      </c>
      <c r="G36" s="4" t="n">
        <v>2400</v>
      </c>
      <c r="H36" s="5" t="n">
        <v>0.02</v>
      </c>
      <c r="I36" s="4" t="n">
        <v>2352</v>
      </c>
      <c r="J36" s="4" t="n">
        <v>1058.4</v>
      </c>
      <c r="K36" s="4" t="n">
        <v>1293.6</v>
      </c>
      <c r="L36" s="3" t="inlineStr">
        <is>
          <t>Corporate</t>
        </is>
      </c>
    </row>
    <row r="37">
      <c r="A37" s="6" t="n">
        <v>45668</v>
      </c>
      <c r="B37" t="inlineStr">
        <is>
          <t>TH-0036</t>
        </is>
      </c>
      <c r="C37" t="inlineStr">
        <is>
          <t>Notebook Pack</t>
        </is>
      </c>
      <c r="D37" t="inlineStr">
        <is>
          <t>Stationery</t>
        </is>
      </c>
      <c r="E37" t="inlineStr">
        <is>
          <t>South</t>
        </is>
      </c>
      <c r="F37" t="n">
        <v>3</v>
      </c>
      <c r="G37" s="7" t="n">
        <v>320</v>
      </c>
      <c r="H37" s="8" t="n">
        <v>0.1</v>
      </c>
      <c r="I37" s="7" t="n">
        <v>864</v>
      </c>
      <c r="J37" s="7" t="n">
        <v>302.4</v>
      </c>
      <c r="K37" s="7" t="n">
        <v>561.6</v>
      </c>
      <c r="L37" t="inlineStr">
        <is>
          <t>Consumer</t>
        </is>
      </c>
    </row>
    <row r="38">
      <c r="A38" s="2" t="n">
        <v>45694</v>
      </c>
      <c r="B38" s="3" t="inlineStr">
        <is>
          <t>TH-0037</t>
        </is>
      </c>
      <c r="C38" s="3" t="inlineStr">
        <is>
          <t>Desk Lamp</t>
        </is>
      </c>
      <c r="D38" s="3" t="inlineStr">
        <is>
          <t>Furniture</t>
        </is>
      </c>
      <c r="E38" s="3" t="inlineStr">
        <is>
          <t>North</t>
        </is>
      </c>
      <c r="F38" s="3" t="n">
        <v>4</v>
      </c>
      <c r="G38" s="4" t="n">
        <v>1450</v>
      </c>
      <c r="H38" s="5" t="n">
        <v>0.02</v>
      </c>
      <c r="I38" s="4" t="n">
        <v>5684</v>
      </c>
      <c r="J38" s="4" t="n">
        <v>2387.28</v>
      </c>
      <c r="K38" s="4" t="n">
        <v>3296.72</v>
      </c>
      <c r="L38" s="3" t="inlineStr">
        <is>
          <t>Consumer</t>
        </is>
      </c>
    </row>
    <row r="39">
      <c r="A39" s="6" t="n">
        <v>45827</v>
      </c>
      <c r="B39" t="inlineStr">
        <is>
          <t>TH-0038</t>
        </is>
      </c>
      <c r="C39" t="inlineStr">
        <is>
          <t>Wireless Mouse</t>
        </is>
      </c>
      <c r="D39" t="inlineStr">
        <is>
          <t>Accessories</t>
        </is>
      </c>
      <c r="E39" t="inlineStr">
        <is>
          <t>West</t>
        </is>
      </c>
      <c r="F39" t="n">
        <v>3</v>
      </c>
      <c r="G39" s="7" t="n">
        <v>850</v>
      </c>
      <c r="H39" s="8" t="n">
        <v>0.05</v>
      </c>
      <c r="I39" s="7" t="n">
        <v>2422.5</v>
      </c>
      <c r="J39" s="7" t="n">
        <v>1162.8</v>
      </c>
      <c r="K39" s="7" t="n">
        <v>1259.7</v>
      </c>
      <c r="L39" t="inlineStr">
        <is>
          <t>Consumer</t>
        </is>
      </c>
    </row>
    <row r="40">
      <c r="A40" s="2" t="n">
        <v>45934</v>
      </c>
      <c r="B40" s="3" t="inlineStr">
        <is>
          <t>TH-0039</t>
        </is>
      </c>
      <c r="C40" s="3" t="inlineStr">
        <is>
          <t>Keyboard</t>
        </is>
      </c>
      <c r="D40" s="3" t="inlineStr">
        <is>
          <t>Accessories</t>
        </is>
      </c>
      <c r="E40" s="3" t="inlineStr">
        <is>
          <t>West</t>
        </is>
      </c>
      <c r="F40" s="3" t="n">
        <v>4</v>
      </c>
      <c r="G40" s="4" t="n">
        <v>1600</v>
      </c>
      <c r="H40" s="5" t="n">
        <v>0.1</v>
      </c>
      <c r="I40" s="4" t="n">
        <v>5760</v>
      </c>
      <c r="J40" s="4" t="n">
        <v>2995.2</v>
      </c>
      <c r="K40" s="4" t="n">
        <v>2764.8</v>
      </c>
      <c r="L40" s="3" t="inlineStr">
        <is>
          <t>Consumer</t>
        </is>
      </c>
    </row>
    <row r="41">
      <c r="A41" s="6" t="n">
        <v>45900</v>
      </c>
      <c r="B41" t="inlineStr">
        <is>
          <t>TH-0040</t>
        </is>
      </c>
      <c r="C41" t="inlineStr">
        <is>
          <t>Headphones</t>
        </is>
      </c>
      <c r="D41" t="inlineStr">
        <is>
          <t>Electronics</t>
        </is>
      </c>
      <c r="E41" t="inlineStr">
        <is>
          <t>West</t>
        </is>
      </c>
      <c r="F41" t="n">
        <v>1</v>
      </c>
      <c r="G41" s="7" t="n">
        <v>3200</v>
      </c>
      <c r="H41" s="8" t="n">
        <v>0</v>
      </c>
      <c r="I41" s="7" t="n">
        <v>3200</v>
      </c>
      <c r="J41" s="7" t="n">
        <v>1984</v>
      </c>
      <c r="K41" s="7" t="n">
        <v>1216</v>
      </c>
      <c r="L41" t="inlineStr">
        <is>
          <t>Corporate</t>
        </is>
      </c>
    </row>
    <row r="42">
      <c r="A42" s="2" t="n">
        <v>45874</v>
      </c>
      <c r="B42" s="3" t="inlineStr">
        <is>
          <t>TH-0041</t>
        </is>
      </c>
      <c r="C42" s="3" t="inlineStr">
        <is>
          <t>Headphones</t>
        </is>
      </c>
      <c r="D42" s="3" t="inlineStr">
        <is>
          <t>Electronics</t>
        </is>
      </c>
      <c r="E42" s="3" t="inlineStr">
        <is>
          <t>North</t>
        </is>
      </c>
      <c r="F42" s="3" t="n">
        <v>3</v>
      </c>
      <c r="G42" s="4" t="n">
        <v>3200</v>
      </c>
      <c r="H42" s="5" t="n">
        <v>0.12</v>
      </c>
      <c r="I42" s="4" t="n">
        <v>8448</v>
      </c>
      <c r="J42" s="4" t="n">
        <v>5237.76</v>
      </c>
      <c r="K42" s="4" t="n">
        <v>3210.24</v>
      </c>
      <c r="L42" s="3" t="inlineStr">
        <is>
          <t>Small Business</t>
        </is>
      </c>
    </row>
    <row r="43">
      <c r="A43" s="6" t="n">
        <v>45992</v>
      </c>
      <c r="B43" t="inlineStr">
        <is>
          <t>TH-0042</t>
        </is>
      </c>
      <c r="C43" t="inlineStr">
        <is>
          <t>Printer</t>
        </is>
      </c>
      <c r="D43" t="inlineStr">
        <is>
          <t>Electronics</t>
        </is>
      </c>
      <c r="E43" t="inlineStr">
        <is>
          <t>East</t>
        </is>
      </c>
      <c r="F43" t="n">
        <v>1</v>
      </c>
      <c r="G43" s="7" t="n">
        <v>9800</v>
      </c>
      <c r="H43" s="8" t="n">
        <v>0.08</v>
      </c>
      <c r="I43" s="7" t="n">
        <v>9016</v>
      </c>
      <c r="J43" s="7" t="n">
        <v>5680.08</v>
      </c>
      <c r="K43" s="7" t="n">
        <v>3335.92</v>
      </c>
      <c r="L43" t="inlineStr">
        <is>
          <t>Consumer</t>
        </is>
      </c>
    </row>
    <row r="44">
      <c r="A44" s="2" t="n">
        <v>45785</v>
      </c>
      <c r="B44" s="3" t="inlineStr">
        <is>
          <t>TH-0043</t>
        </is>
      </c>
      <c r="C44" s="3" t="inlineStr">
        <is>
          <t>Monitor</t>
        </is>
      </c>
      <c r="D44" s="3" t="inlineStr">
        <is>
          <t>Electronics</t>
        </is>
      </c>
      <c r="E44" s="3" t="inlineStr">
        <is>
          <t>South</t>
        </is>
      </c>
      <c r="F44" s="3" t="n">
        <v>1</v>
      </c>
      <c r="G44" s="4" t="n">
        <v>12500</v>
      </c>
      <c r="H44" s="5" t="n">
        <v>0.08</v>
      </c>
      <c r="I44" s="4" t="n">
        <v>11500</v>
      </c>
      <c r="J44" s="4" t="n">
        <v>7705</v>
      </c>
      <c r="K44" s="4" t="n">
        <v>3795</v>
      </c>
      <c r="L44" s="3" t="inlineStr">
        <is>
          <t>Corporate</t>
        </is>
      </c>
    </row>
    <row r="45">
      <c r="A45" s="6" t="n">
        <v>45751</v>
      </c>
      <c r="B45" t="inlineStr">
        <is>
          <t>TH-0044</t>
        </is>
      </c>
      <c r="C45" t="inlineStr">
        <is>
          <t>Office Chair</t>
        </is>
      </c>
      <c r="D45" t="inlineStr">
        <is>
          <t>Furniture</t>
        </is>
      </c>
      <c r="E45" t="inlineStr">
        <is>
          <t>North</t>
        </is>
      </c>
      <c r="F45" t="n">
        <v>3</v>
      </c>
      <c r="G45" s="7" t="n">
        <v>7800</v>
      </c>
      <c r="H45" s="8" t="n">
        <v>0.15</v>
      </c>
      <c r="I45" s="7" t="n">
        <v>19890</v>
      </c>
      <c r="J45" s="7" t="n">
        <v>11536.2</v>
      </c>
      <c r="K45" s="7" t="n">
        <v>8353.799999999999</v>
      </c>
      <c r="L45" t="inlineStr">
        <is>
          <t>Corporate</t>
        </is>
      </c>
    </row>
    <row r="46">
      <c r="A46" s="2" t="n">
        <v>45939</v>
      </c>
      <c r="B46" s="3" t="inlineStr">
        <is>
          <t>TH-0045</t>
        </is>
      </c>
      <c r="C46" s="3" t="inlineStr">
        <is>
          <t>Wireless Mouse</t>
        </is>
      </c>
      <c r="D46" s="3" t="inlineStr">
        <is>
          <t>Accessories</t>
        </is>
      </c>
      <c r="E46" s="3" t="inlineStr">
        <is>
          <t>North</t>
        </is>
      </c>
      <c r="F46" s="3" t="n">
        <v>1</v>
      </c>
      <c r="G46" s="4" t="n">
        <v>850</v>
      </c>
      <c r="H46" s="5" t="n">
        <v>0.1</v>
      </c>
      <c r="I46" s="4" t="n">
        <v>765</v>
      </c>
      <c r="J46" s="4" t="n">
        <v>367.2</v>
      </c>
      <c r="K46" s="4" t="n">
        <v>397.8</v>
      </c>
      <c r="L46" s="3" t="inlineStr">
        <is>
          <t>Consumer</t>
        </is>
      </c>
    </row>
    <row r="47">
      <c r="A47" s="6" t="n">
        <v>45779</v>
      </c>
      <c r="B47" t="inlineStr">
        <is>
          <t>TH-0046</t>
        </is>
      </c>
      <c r="C47" t="inlineStr">
        <is>
          <t>Keyboard</t>
        </is>
      </c>
      <c r="D47" t="inlineStr">
        <is>
          <t>Accessories</t>
        </is>
      </c>
      <c r="E47" t="inlineStr">
        <is>
          <t>South</t>
        </is>
      </c>
      <c r="F47" t="n">
        <v>2</v>
      </c>
      <c r="G47" s="7" t="n">
        <v>1600</v>
      </c>
      <c r="H47" s="8" t="n">
        <v>0.08</v>
      </c>
      <c r="I47" s="7" t="n">
        <v>2944</v>
      </c>
      <c r="J47" s="7" t="n">
        <v>1530.88</v>
      </c>
      <c r="K47" s="7" t="n">
        <v>1413.12</v>
      </c>
      <c r="L47" t="inlineStr">
        <is>
          <t>Corporate</t>
        </is>
      </c>
    </row>
    <row r="48">
      <c r="A48" s="2" t="n">
        <v>45688</v>
      </c>
      <c r="B48" s="3" t="inlineStr">
        <is>
          <t>TH-0047</t>
        </is>
      </c>
      <c r="C48" s="3" t="inlineStr">
        <is>
          <t>Keyboard</t>
        </is>
      </c>
      <c r="D48" s="3" t="inlineStr">
        <is>
          <t>Accessories</t>
        </is>
      </c>
      <c r="E48" s="3" t="inlineStr">
        <is>
          <t>East</t>
        </is>
      </c>
      <c r="F48" s="3" t="n">
        <v>2</v>
      </c>
      <c r="G48" s="4" t="n">
        <v>1600</v>
      </c>
      <c r="H48" s="5" t="n">
        <v>0.08</v>
      </c>
      <c r="I48" s="4" t="n">
        <v>2944</v>
      </c>
      <c r="J48" s="4" t="n">
        <v>1530.88</v>
      </c>
      <c r="K48" s="4" t="n">
        <v>1413.12</v>
      </c>
      <c r="L48" s="3" t="inlineStr">
        <is>
          <t>Corporate</t>
        </is>
      </c>
    </row>
    <row r="49">
      <c r="A49" s="6" t="n">
        <v>45804</v>
      </c>
      <c r="B49" t="inlineStr">
        <is>
          <t>TH-0048</t>
        </is>
      </c>
      <c r="C49" t="inlineStr">
        <is>
          <t>Headphones</t>
        </is>
      </c>
      <c r="D49" t="inlineStr">
        <is>
          <t>Electronics</t>
        </is>
      </c>
      <c r="E49" t="inlineStr">
        <is>
          <t>West</t>
        </is>
      </c>
      <c r="F49" t="n">
        <v>4</v>
      </c>
      <c r="G49" s="7" t="n">
        <v>3200</v>
      </c>
      <c r="H49" s="8" t="n">
        <v>0.12</v>
      </c>
      <c r="I49" s="7" t="n">
        <v>11264</v>
      </c>
      <c r="J49" s="7" t="n">
        <v>6983.68</v>
      </c>
      <c r="K49" s="7" t="n">
        <v>4280.32</v>
      </c>
      <c r="L49" t="inlineStr">
        <is>
          <t>Consumer</t>
        </is>
      </c>
    </row>
    <row r="50">
      <c r="A50" s="2" t="n">
        <v>45755</v>
      </c>
      <c r="B50" s="3" t="inlineStr">
        <is>
          <t>TH-0049</t>
        </is>
      </c>
      <c r="C50" s="3" t="inlineStr">
        <is>
          <t>Office Chair</t>
        </is>
      </c>
      <c r="D50" s="3" t="inlineStr">
        <is>
          <t>Furniture</t>
        </is>
      </c>
      <c r="E50" s="3" t="inlineStr">
        <is>
          <t>North</t>
        </is>
      </c>
      <c r="F50" s="3" t="n">
        <v>2</v>
      </c>
      <c r="G50" s="4" t="n">
        <v>7800</v>
      </c>
      <c r="H50" s="5" t="n">
        <v>0</v>
      </c>
      <c r="I50" s="4" t="n">
        <v>15600</v>
      </c>
      <c r="J50" s="4" t="n">
        <v>9048</v>
      </c>
      <c r="K50" s="4" t="n">
        <v>6552</v>
      </c>
      <c r="L50" s="3" t="inlineStr">
        <is>
          <t>Small Business</t>
        </is>
      </c>
    </row>
    <row r="51">
      <c r="A51" s="6" t="n">
        <v>45818</v>
      </c>
      <c r="B51" t="inlineStr">
        <is>
          <t>TH-0050</t>
        </is>
      </c>
      <c r="C51" t="inlineStr">
        <is>
          <t>Laptop</t>
        </is>
      </c>
      <c r="D51" t="inlineStr">
        <is>
          <t>Electronics</t>
        </is>
      </c>
      <c r="E51" t="inlineStr">
        <is>
          <t>South</t>
        </is>
      </c>
      <c r="F51" t="n">
        <v>1</v>
      </c>
      <c r="G51" s="7" t="n">
        <v>42000</v>
      </c>
      <c r="H51" s="8" t="n">
        <v>0.08</v>
      </c>
      <c r="I51" s="7" t="n">
        <v>38640</v>
      </c>
      <c r="J51" s="7" t="n">
        <v>27820.8</v>
      </c>
      <c r="K51" s="7" t="n">
        <v>10819.2</v>
      </c>
      <c r="L51" t="inlineStr">
        <is>
          <t>Consumer</t>
        </is>
      </c>
    </row>
    <row r="52">
      <c r="A52" s="2" t="n">
        <v>45918</v>
      </c>
      <c r="B52" s="3" t="inlineStr">
        <is>
          <t>TH-0051</t>
        </is>
      </c>
      <c r="C52" s="3" t="inlineStr">
        <is>
          <t>Wireless Mouse</t>
        </is>
      </c>
      <c r="D52" s="3" t="inlineStr">
        <is>
          <t>Accessories</t>
        </is>
      </c>
      <c r="E52" s="3" t="inlineStr">
        <is>
          <t>North</t>
        </is>
      </c>
      <c r="F52" s="3" t="n">
        <v>6</v>
      </c>
      <c r="G52" s="4" t="n">
        <v>850</v>
      </c>
      <c r="H52" s="5" t="n">
        <v>0</v>
      </c>
      <c r="I52" s="4" t="n">
        <v>5100</v>
      </c>
      <c r="J52" s="4" t="n">
        <v>2448</v>
      </c>
      <c r="K52" s="4" t="n">
        <v>2652</v>
      </c>
      <c r="L52" s="3" t="inlineStr">
        <is>
          <t>Small Business</t>
        </is>
      </c>
    </row>
    <row r="53">
      <c r="A53" s="6" t="n">
        <v>45778</v>
      </c>
      <c r="B53" t="inlineStr">
        <is>
          <t>TH-0052</t>
        </is>
      </c>
      <c r="C53" t="inlineStr">
        <is>
          <t>Headphones</t>
        </is>
      </c>
      <c r="D53" t="inlineStr">
        <is>
          <t>Electronics</t>
        </is>
      </c>
      <c r="E53" t="inlineStr">
        <is>
          <t>South</t>
        </is>
      </c>
      <c r="F53" t="n">
        <v>1</v>
      </c>
      <c r="G53" s="7" t="n">
        <v>3200</v>
      </c>
      <c r="H53" s="8" t="n">
        <v>0.1</v>
      </c>
      <c r="I53" s="7" t="n">
        <v>2880</v>
      </c>
      <c r="J53" s="7" t="n">
        <v>1785.6</v>
      </c>
      <c r="K53" s="7" t="n">
        <v>1094.4</v>
      </c>
      <c r="L53" t="inlineStr">
        <is>
          <t>Small Business</t>
        </is>
      </c>
    </row>
    <row r="54">
      <c r="A54" s="2" t="n">
        <v>45962</v>
      </c>
      <c r="B54" s="3" t="inlineStr">
        <is>
          <t>TH-0053</t>
        </is>
      </c>
      <c r="C54" s="3" t="inlineStr">
        <is>
          <t>Laptop</t>
        </is>
      </c>
      <c r="D54" s="3" t="inlineStr">
        <is>
          <t>Electronics</t>
        </is>
      </c>
      <c r="E54" s="3" t="inlineStr">
        <is>
          <t>East</t>
        </is>
      </c>
      <c r="F54" s="3" t="n">
        <v>4</v>
      </c>
      <c r="G54" s="4" t="n">
        <v>42000</v>
      </c>
      <c r="H54" s="5" t="n">
        <v>0.08</v>
      </c>
      <c r="I54" s="4" t="n">
        <v>154560</v>
      </c>
      <c r="J54" s="4" t="n">
        <v>111283.2</v>
      </c>
      <c r="K54" s="4" t="n">
        <v>43276.8</v>
      </c>
      <c r="L54" s="3" t="inlineStr">
        <is>
          <t>Corporate</t>
        </is>
      </c>
    </row>
    <row r="55">
      <c r="A55" s="6" t="n">
        <v>45762</v>
      </c>
      <c r="B55" t="inlineStr">
        <is>
          <t>TH-0054</t>
        </is>
      </c>
      <c r="C55" t="inlineStr">
        <is>
          <t>Printer</t>
        </is>
      </c>
      <c r="D55" t="inlineStr">
        <is>
          <t>Electronics</t>
        </is>
      </c>
      <c r="E55" t="inlineStr">
        <is>
          <t>East</t>
        </is>
      </c>
      <c r="F55" t="n">
        <v>4</v>
      </c>
      <c r="G55" s="7" t="n">
        <v>9800</v>
      </c>
      <c r="H55" s="8" t="n">
        <v>0.02</v>
      </c>
      <c r="I55" s="7" t="n">
        <v>38416</v>
      </c>
      <c r="J55" s="7" t="n">
        <v>24202.08</v>
      </c>
      <c r="K55" s="7" t="n">
        <v>14213.92</v>
      </c>
      <c r="L55" t="inlineStr">
        <is>
          <t>Corporate</t>
        </is>
      </c>
    </row>
    <row r="56">
      <c r="A56" s="2" t="n">
        <v>45725</v>
      </c>
      <c r="B56" s="3" t="inlineStr">
        <is>
          <t>TH-0055</t>
        </is>
      </c>
      <c r="C56" s="3" t="inlineStr">
        <is>
          <t>Printer</t>
        </is>
      </c>
      <c r="D56" s="3" t="inlineStr">
        <is>
          <t>Electronics</t>
        </is>
      </c>
      <c r="E56" s="3" t="inlineStr">
        <is>
          <t>East</t>
        </is>
      </c>
      <c r="F56" s="3" t="n">
        <v>4</v>
      </c>
      <c r="G56" s="4" t="n">
        <v>9800</v>
      </c>
      <c r="H56" s="5" t="n">
        <v>0.08</v>
      </c>
      <c r="I56" s="4" t="n">
        <v>36064</v>
      </c>
      <c r="J56" s="4" t="n">
        <v>22720.32</v>
      </c>
      <c r="K56" s="4" t="n">
        <v>13343.68</v>
      </c>
      <c r="L56" s="3" t="inlineStr">
        <is>
          <t>Consumer</t>
        </is>
      </c>
    </row>
    <row r="57">
      <c r="A57" s="6" t="n">
        <v>45662</v>
      </c>
      <c r="B57" t="inlineStr">
        <is>
          <t>TH-0056</t>
        </is>
      </c>
      <c r="C57" t="inlineStr">
        <is>
          <t>USB-C Hub</t>
        </is>
      </c>
      <c r="D57" t="inlineStr">
        <is>
          <t>Accessories</t>
        </is>
      </c>
      <c r="E57" t="inlineStr">
        <is>
          <t>North</t>
        </is>
      </c>
      <c r="F57" t="n">
        <v>4</v>
      </c>
      <c r="G57" s="7" t="n">
        <v>2400</v>
      </c>
      <c r="H57" s="8" t="n">
        <v>0.1</v>
      </c>
      <c r="I57" s="7" t="n">
        <v>8640</v>
      </c>
      <c r="J57" s="7" t="n">
        <v>3888</v>
      </c>
      <c r="K57" s="7" t="n">
        <v>4752</v>
      </c>
      <c r="L57" t="inlineStr">
        <is>
          <t>Consumer</t>
        </is>
      </c>
    </row>
    <row r="58">
      <c r="A58" s="2" t="n">
        <v>45933</v>
      </c>
      <c r="B58" s="3" t="inlineStr">
        <is>
          <t>TH-0057</t>
        </is>
      </c>
      <c r="C58" s="3" t="inlineStr">
        <is>
          <t>Monitor</t>
        </is>
      </c>
      <c r="D58" s="3" t="inlineStr">
        <is>
          <t>Electronics</t>
        </is>
      </c>
      <c r="E58" s="3" t="inlineStr">
        <is>
          <t>East</t>
        </is>
      </c>
      <c r="F58" s="3" t="n">
        <v>3</v>
      </c>
      <c r="G58" s="4" t="n">
        <v>12500</v>
      </c>
      <c r="H58" s="5" t="n">
        <v>0.02</v>
      </c>
      <c r="I58" s="4" t="n">
        <v>36750</v>
      </c>
      <c r="J58" s="4" t="n">
        <v>24622.5</v>
      </c>
      <c r="K58" s="4" t="n">
        <v>12127.5</v>
      </c>
      <c r="L58" s="3" t="inlineStr">
        <is>
          <t>Consumer</t>
        </is>
      </c>
    </row>
    <row r="59">
      <c r="A59" s="6" t="n">
        <v>45783</v>
      </c>
      <c r="B59" t="inlineStr">
        <is>
          <t>TH-0058</t>
        </is>
      </c>
      <c r="C59" t="inlineStr">
        <is>
          <t>Desk</t>
        </is>
      </c>
      <c r="D59" t="inlineStr">
        <is>
          <t>Furniture</t>
        </is>
      </c>
      <c r="E59" t="inlineStr">
        <is>
          <t>East</t>
        </is>
      </c>
      <c r="F59" t="n">
        <v>2</v>
      </c>
      <c r="G59" s="7" t="n">
        <v>9500</v>
      </c>
      <c r="H59" s="8" t="n">
        <v>0.08</v>
      </c>
      <c r="I59" s="7" t="n">
        <v>17480</v>
      </c>
      <c r="J59" s="7" t="n">
        <v>9614</v>
      </c>
      <c r="K59" s="7" t="n">
        <v>7866</v>
      </c>
      <c r="L59" t="inlineStr">
        <is>
          <t>Small Business</t>
        </is>
      </c>
    </row>
    <row r="60">
      <c r="A60" s="2" t="n">
        <v>45992</v>
      </c>
      <c r="B60" s="3" t="inlineStr">
        <is>
          <t>TH-0059</t>
        </is>
      </c>
      <c r="C60" s="3" t="inlineStr">
        <is>
          <t>Webcam</t>
        </is>
      </c>
      <c r="D60" s="3" t="inlineStr">
        <is>
          <t>Electronics</t>
        </is>
      </c>
      <c r="E60" s="3" t="inlineStr">
        <is>
          <t>East</t>
        </is>
      </c>
      <c r="F60" s="3" t="n">
        <v>1</v>
      </c>
      <c r="G60" s="4" t="n">
        <v>4100</v>
      </c>
      <c r="H60" s="5" t="n">
        <v>0.15</v>
      </c>
      <c r="I60" s="4" t="n">
        <v>3485</v>
      </c>
      <c r="J60" s="4" t="n">
        <v>2091</v>
      </c>
      <c r="K60" s="4" t="n">
        <v>1394</v>
      </c>
      <c r="L60" s="3" t="inlineStr">
        <is>
          <t>Small Business</t>
        </is>
      </c>
    </row>
    <row r="61">
      <c r="A61" s="6" t="n">
        <v>45711</v>
      </c>
      <c r="B61" t="inlineStr">
        <is>
          <t>TH-0060</t>
        </is>
      </c>
      <c r="C61" t="inlineStr">
        <is>
          <t>Keyboard</t>
        </is>
      </c>
      <c r="D61" t="inlineStr">
        <is>
          <t>Accessories</t>
        </is>
      </c>
      <c r="E61" t="inlineStr">
        <is>
          <t>South</t>
        </is>
      </c>
      <c r="F61" t="n">
        <v>2</v>
      </c>
      <c r="G61" s="7" t="n">
        <v>1600</v>
      </c>
      <c r="H61" s="8" t="n">
        <v>0</v>
      </c>
      <c r="I61" s="7" t="n">
        <v>3200</v>
      </c>
      <c r="J61" s="7" t="n">
        <v>1664</v>
      </c>
      <c r="K61" s="7" t="n">
        <v>1536</v>
      </c>
      <c r="L61" t="inlineStr">
        <is>
          <t>Corporate</t>
        </is>
      </c>
    </row>
    <row r="62">
      <c r="A62" s="2" t="n">
        <v>45802</v>
      </c>
      <c r="B62" s="3" t="inlineStr">
        <is>
          <t>TH-0061</t>
        </is>
      </c>
      <c r="C62" s="3" t="inlineStr">
        <is>
          <t>Notebook Pack</t>
        </is>
      </c>
      <c r="D62" s="3" t="inlineStr">
        <is>
          <t>Stationery</t>
        </is>
      </c>
      <c r="E62" s="3" t="inlineStr">
        <is>
          <t>South</t>
        </is>
      </c>
      <c r="F62" s="3" t="n">
        <v>2</v>
      </c>
      <c r="G62" s="4" t="n">
        <v>320</v>
      </c>
      <c r="H62" s="5" t="n">
        <v>0.05</v>
      </c>
      <c r="I62" s="4" t="n">
        <v>608</v>
      </c>
      <c r="J62" s="4" t="n">
        <v>212.8</v>
      </c>
      <c r="K62" s="4" t="n">
        <v>395.2</v>
      </c>
      <c r="L62" s="3" t="inlineStr">
        <is>
          <t>Small Business</t>
        </is>
      </c>
    </row>
    <row r="63">
      <c r="A63" s="6" t="n">
        <v>45982</v>
      </c>
      <c r="B63" t="inlineStr">
        <is>
          <t>TH-0062</t>
        </is>
      </c>
      <c r="C63" t="inlineStr">
        <is>
          <t>Office Chair</t>
        </is>
      </c>
      <c r="D63" t="inlineStr">
        <is>
          <t>Furniture</t>
        </is>
      </c>
      <c r="E63" t="inlineStr">
        <is>
          <t>North</t>
        </is>
      </c>
      <c r="F63" t="n">
        <v>3</v>
      </c>
      <c r="G63" s="7" t="n">
        <v>7800</v>
      </c>
      <c r="H63" s="8" t="n">
        <v>0.05</v>
      </c>
      <c r="I63" s="7" t="n">
        <v>22230</v>
      </c>
      <c r="J63" s="7" t="n">
        <v>12893.4</v>
      </c>
      <c r="K63" s="7" t="n">
        <v>9336.6</v>
      </c>
      <c r="L63" t="inlineStr">
        <is>
          <t>Consumer</t>
        </is>
      </c>
    </row>
    <row r="64">
      <c r="A64" s="2" t="n">
        <v>45982</v>
      </c>
      <c r="B64" s="3" t="inlineStr">
        <is>
          <t>TH-0063</t>
        </is>
      </c>
      <c r="C64" s="3" t="inlineStr">
        <is>
          <t>Headphones</t>
        </is>
      </c>
      <c r="D64" s="3" t="inlineStr">
        <is>
          <t>Electronics</t>
        </is>
      </c>
      <c r="E64" s="3" t="inlineStr">
        <is>
          <t>North</t>
        </is>
      </c>
      <c r="F64" s="3" t="n">
        <v>5</v>
      </c>
      <c r="G64" s="4" t="n">
        <v>3200</v>
      </c>
      <c r="H64" s="5" t="n">
        <v>0</v>
      </c>
      <c r="I64" s="4" t="n">
        <v>16000</v>
      </c>
      <c r="J64" s="4" t="n">
        <v>9920</v>
      </c>
      <c r="K64" s="4" t="n">
        <v>6080</v>
      </c>
      <c r="L64" s="3" t="inlineStr">
        <is>
          <t>Corporate</t>
        </is>
      </c>
    </row>
    <row r="65">
      <c r="A65" s="6" t="n">
        <v>45724</v>
      </c>
      <c r="B65" t="inlineStr">
        <is>
          <t>TH-0064</t>
        </is>
      </c>
      <c r="C65" t="inlineStr">
        <is>
          <t>Printer</t>
        </is>
      </c>
      <c r="D65" t="inlineStr">
        <is>
          <t>Electronics</t>
        </is>
      </c>
      <c r="E65" t="inlineStr">
        <is>
          <t>West</t>
        </is>
      </c>
      <c r="F65" t="n">
        <v>10</v>
      </c>
      <c r="G65" s="7" t="n">
        <v>9800</v>
      </c>
      <c r="H65" s="8" t="n">
        <v>0.02</v>
      </c>
      <c r="I65" s="7" t="n">
        <v>96040</v>
      </c>
      <c r="J65" s="7" t="n">
        <v>60505.2</v>
      </c>
      <c r="K65" s="7" t="n">
        <v>35534.8</v>
      </c>
      <c r="L65" t="inlineStr">
        <is>
          <t>Small Business</t>
        </is>
      </c>
    </row>
    <row r="66">
      <c r="A66" s="2" t="n">
        <v>46019</v>
      </c>
      <c r="B66" s="3" t="inlineStr">
        <is>
          <t>TH-0065</t>
        </is>
      </c>
      <c r="C66" s="3" t="inlineStr">
        <is>
          <t>Headphones</t>
        </is>
      </c>
      <c r="D66" s="3" t="inlineStr">
        <is>
          <t>Electronics</t>
        </is>
      </c>
      <c r="E66" s="3" t="inlineStr">
        <is>
          <t>North</t>
        </is>
      </c>
      <c r="F66" s="3" t="n">
        <v>3</v>
      </c>
      <c r="G66" s="4" t="n">
        <v>3200</v>
      </c>
      <c r="H66" s="5" t="n">
        <v>0</v>
      </c>
      <c r="I66" s="4" t="n">
        <v>9600</v>
      </c>
      <c r="J66" s="4" t="n">
        <v>5952</v>
      </c>
      <c r="K66" s="4" t="n">
        <v>3648</v>
      </c>
      <c r="L66" s="3" t="inlineStr">
        <is>
          <t>Small Business</t>
        </is>
      </c>
    </row>
    <row r="67">
      <c r="A67" s="6" t="n">
        <v>45734</v>
      </c>
      <c r="B67" t="inlineStr">
        <is>
          <t>TH-0066</t>
        </is>
      </c>
      <c r="C67" t="inlineStr">
        <is>
          <t>Webcam</t>
        </is>
      </c>
      <c r="D67" t="inlineStr">
        <is>
          <t>Electronics</t>
        </is>
      </c>
      <c r="E67" t="inlineStr">
        <is>
          <t>South</t>
        </is>
      </c>
      <c r="F67" t="n">
        <v>1</v>
      </c>
      <c r="G67" s="7" t="n">
        <v>4100</v>
      </c>
      <c r="H67" s="8" t="n">
        <v>0.05</v>
      </c>
      <c r="I67" s="7" t="n">
        <v>3895</v>
      </c>
      <c r="J67" s="7" t="n">
        <v>2337</v>
      </c>
      <c r="K67" s="7" t="n">
        <v>1558</v>
      </c>
      <c r="L67" t="inlineStr">
        <is>
          <t>Corporate</t>
        </is>
      </c>
    </row>
    <row r="68">
      <c r="A68" s="2" t="n">
        <v>45723</v>
      </c>
      <c r="B68" s="3" t="inlineStr">
        <is>
          <t>TH-0067</t>
        </is>
      </c>
      <c r="C68" s="3" t="inlineStr">
        <is>
          <t>Laptop</t>
        </is>
      </c>
      <c r="D68" s="3" t="inlineStr">
        <is>
          <t>Electronics</t>
        </is>
      </c>
      <c r="E68" s="3" t="inlineStr">
        <is>
          <t>North</t>
        </is>
      </c>
      <c r="F68" s="3" t="n">
        <v>2</v>
      </c>
      <c r="G68" s="4" t="n">
        <v>42000</v>
      </c>
      <c r="H68" s="5" t="n">
        <v>0.15</v>
      </c>
      <c r="I68" s="4" t="n">
        <v>71400</v>
      </c>
      <c r="J68" s="4" t="n">
        <v>51408</v>
      </c>
      <c r="K68" s="4" t="n">
        <v>19992</v>
      </c>
      <c r="L68" s="3" t="inlineStr">
        <is>
          <t>Corporate</t>
        </is>
      </c>
    </row>
    <row r="69">
      <c r="A69" s="6" t="n">
        <v>45765</v>
      </c>
      <c r="B69" t="inlineStr">
        <is>
          <t>TH-0068</t>
        </is>
      </c>
      <c r="C69" t="inlineStr">
        <is>
          <t>Printer</t>
        </is>
      </c>
      <c r="D69" t="inlineStr">
        <is>
          <t>Electronics</t>
        </is>
      </c>
      <c r="E69" t="inlineStr">
        <is>
          <t>East</t>
        </is>
      </c>
      <c r="F69" t="n">
        <v>2</v>
      </c>
      <c r="G69" s="7" t="n">
        <v>9800</v>
      </c>
      <c r="H69" s="8" t="n">
        <v>0</v>
      </c>
      <c r="I69" s="7" t="n">
        <v>19600</v>
      </c>
      <c r="J69" s="7" t="n">
        <v>12348</v>
      </c>
      <c r="K69" s="7" t="n">
        <v>7252</v>
      </c>
      <c r="L69" t="inlineStr">
        <is>
          <t>Small Business</t>
        </is>
      </c>
    </row>
    <row r="70">
      <c r="A70" s="2" t="n">
        <v>45866</v>
      </c>
      <c r="B70" s="3" t="inlineStr">
        <is>
          <t>TH-0069</t>
        </is>
      </c>
      <c r="C70" s="3" t="inlineStr">
        <is>
          <t>Notebook Pack</t>
        </is>
      </c>
      <c r="D70" s="3" t="inlineStr">
        <is>
          <t>Stationery</t>
        </is>
      </c>
      <c r="E70" s="3" t="inlineStr">
        <is>
          <t>South</t>
        </is>
      </c>
      <c r="F70" s="3" t="n">
        <v>5</v>
      </c>
      <c r="G70" s="4" t="n">
        <v>320</v>
      </c>
      <c r="H70" s="5" t="n">
        <v>0.02</v>
      </c>
      <c r="I70" s="4" t="n">
        <v>1568</v>
      </c>
      <c r="J70" s="4" t="n">
        <v>548.8</v>
      </c>
      <c r="K70" s="4" t="n">
        <v>1019.2</v>
      </c>
      <c r="L70" s="3" t="inlineStr">
        <is>
          <t>Consumer</t>
        </is>
      </c>
    </row>
    <row r="71">
      <c r="A71" s="6" t="n">
        <v>45869</v>
      </c>
      <c r="B71" t="inlineStr">
        <is>
          <t>TH-0070</t>
        </is>
      </c>
      <c r="C71" t="inlineStr">
        <is>
          <t>Laptop</t>
        </is>
      </c>
      <c r="D71" t="inlineStr">
        <is>
          <t>Electronics</t>
        </is>
      </c>
      <c r="E71" t="inlineStr">
        <is>
          <t>West</t>
        </is>
      </c>
      <c r="F71" t="n">
        <v>1</v>
      </c>
      <c r="G71" s="7" t="n">
        <v>42000</v>
      </c>
      <c r="H71" s="8" t="n">
        <v>0.05</v>
      </c>
      <c r="I71" s="7" t="n">
        <v>39900</v>
      </c>
      <c r="J71" s="7" t="n">
        <v>28728</v>
      </c>
      <c r="K71" s="7" t="n">
        <v>11172</v>
      </c>
      <c r="L71" t="inlineStr">
        <is>
          <t>Small Business</t>
        </is>
      </c>
    </row>
    <row r="72">
      <c r="A72" s="2" t="n">
        <v>45785</v>
      </c>
      <c r="B72" s="3" t="inlineStr">
        <is>
          <t>TH-0071</t>
        </is>
      </c>
      <c r="C72" s="3" t="inlineStr">
        <is>
          <t>Office Chair</t>
        </is>
      </c>
      <c r="D72" s="3" t="inlineStr">
        <is>
          <t>Furniture</t>
        </is>
      </c>
      <c r="E72" s="3" t="inlineStr">
        <is>
          <t>North</t>
        </is>
      </c>
      <c r="F72" s="3" t="n">
        <v>1</v>
      </c>
      <c r="G72" s="4" t="n">
        <v>7800</v>
      </c>
      <c r="H72" s="5" t="n">
        <v>0.12</v>
      </c>
      <c r="I72" s="4" t="n">
        <v>6864</v>
      </c>
      <c r="J72" s="4" t="n">
        <v>3981.12</v>
      </c>
      <c r="K72" s="4" t="n">
        <v>2882.88</v>
      </c>
      <c r="L72" s="3" t="inlineStr">
        <is>
          <t>Corporate</t>
        </is>
      </c>
    </row>
    <row r="73">
      <c r="A73" s="6" t="n">
        <v>45677</v>
      </c>
      <c r="B73" t="inlineStr">
        <is>
          <t>TH-0072</t>
        </is>
      </c>
      <c r="C73" t="inlineStr">
        <is>
          <t>USB-C Hub</t>
        </is>
      </c>
      <c r="D73" t="inlineStr">
        <is>
          <t>Accessories</t>
        </is>
      </c>
      <c r="E73" t="inlineStr">
        <is>
          <t>West</t>
        </is>
      </c>
      <c r="F73" t="n">
        <v>2</v>
      </c>
      <c r="G73" s="7" t="n">
        <v>2400</v>
      </c>
      <c r="H73" s="8" t="n">
        <v>0.15</v>
      </c>
      <c r="I73" s="7" t="n">
        <v>4080</v>
      </c>
      <c r="J73" s="7" t="n">
        <v>1836</v>
      </c>
      <c r="K73" s="7" t="n">
        <v>2244</v>
      </c>
      <c r="L73" t="inlineStr">
        <is>
          <t>Corporate</t>
        </is>
      </c>
    </row>
    <row r="74">
      <c r="A74" s="2" t="n">
        <v>45814</v>
      </c>
      <c r="B74" s="3" t="inlineStr">
        <is>
          <t>TH-0073</t>
        </is>
      </c>
      <c r="C74" s="3" t="inlineStr">
        <is>
          <t>Monitor</t>
        </is>
      </c>
      <c r="D74" s="3" t="inlineStr">
        <is>
          <t>Electronics</t>
        </is>
      </c>
      <c r="E74" s="3" t="inlineStr">
        <is>
          <t>South</t>
        </is>
      </c>
      <c r="F74" s="3" t="n">
        <v>2</v>
      </c>
      <c r="G74" s="4" t="n">
        <v>12500</v>
      </c>
      <c r="H74" s="5" t="n">
        <v>0.12</v>
      </c>
      <c r="I74" s="4" t="n">
        <v>22000</v>
      </c>
      <c r="J74" s="4" t="n">
        <v>14740</v>
      </c>
      <c r="K74" s="4" t="n">
        <v>7260</v>
      </c>
      <c r="L74" s="3" t="inlineStr">
        <is>
          <t>Corporate</t>
        </is>
      </c>
    </row>
    <row r="75">
      <c r="A75" s="6" t="n">
        <v>45826</v>
      </c>
      <c r="B75" t="inlineStr">
        <is>
          <t>TH-0074</t>
        </is>
      </c>
      <c r="C75" t="inlineStr">
        <is>
          <t>Office Chair</t>
        </is>
      </c>
      <c r="D75" t="inlineStr">
        <is>
          <t>Furniture</t>
        </is>
      </c>
      <c r="E75" t="inlineStr">
        <is>
          <t>East</t>
        </is>
      </c>
      <c r="F75" t="n">
        <v>6</v>
      </c>
      <c r="G75" s="7" t="n">
        <v>7800</v>
      </c>
      <c r="H75" s="8" t="n">
        <v>0.15</v>
      </c>
      <c r="I75" s="7" t="n">
        <v>39780</v>
      </c>
      <c r="J75" s="7" t="n">
        <v>23072.4</v>
      </c>
      <c r="K75" s="7" t="n">
        <v>16707.6</v>
      </c>
      <c r="L75" t="inlineStr">
        <is>
          <t>Corporate</t>
        </is>
      </c>
    </row>
    <row r="76">
      <c r="A76" s="2" t="n">
        <v>45986</v>
      </c>
      <c r="B76" s="3" t="inlineStr">
        <is>
          <t>TH-0075</t>
        </is>
      </c>
      <c r="C76" s="3" t="inlineStr">
        <is>
          <t>Webcam</t>
        </is>
      </c>
      <c r="D76" s="3" t="inlineStr">
        <is>
          <t>Electronics</t>
        </is>
      </c>
      <c r="E76" s="3" t="inlineStr">
        <is>
          <t>East</t>
        </is>
      </c>
      <c r="F76" s="3" t="n">
        <v>2</v>
      </c>
      <c r="G76" s="4" t="n">
        <v>4100</v>
      </c>
      <c r="H76" s="5" t="n">
        <v>0.15</v>
      </c>
      <c r="I76" s="4" t="n">
        <v>6970</v>
      </c>
      <c r="J76" s="4" t="n">
        <v>4182</v>
      </c>
      <c r="K76" s="4" t="n">
        <v>2788</v>
      </c>
      <c r="L76" s="3" t="inlineStr">
        <is>
          <t>Consumer</t>
        </is>
      </c>
    </row>
    <row r="77">
      <c r="A77" s="6" t="n">
        <v>45717</v>
      </c>
      <c r="B77" t="inlineStr">
        <is>
          <t>TH-0076</t>
        </is>
      </c>
      <c r="C77" t="inlineStr">
        <is>
          <t>Office Chair</t>
        </is>
      </c>
      <c r="D77" t="inlineStr">
        <is>
          <t>Furniture</t>
        </is>
      </c>
      <c r="E77" t="inlineStr">
        <is>
          <t>North</t>
        </is>
      </c>
      <c r="F77" t="n">
        <v>1</v>
      </c>
      <c r="G77" s="7" t="n">
        <v>7800</v>
      </c>
      <c r="H77" s="8" t="n">
        <v>0.05</v>
      </c>
      <c r="I77" s="7" t="n">
        <v>7410</v>
      </c>
      <c r="J77" s="7" t="n">
        <v>4297.8</v>
      </c>
      <c r="K77" s="7" t="n">
        <v>3112.2</v>
      </c>
      <c r="L77" t="inlineStr">
        <is>
          <t>Consumer</t>
        </is>
      </c>
    </row>
    <row r="78">
      <c r="A78" s="2" t="n">
        <v>45963</v>
      </c>
      <c r="B78" s="3" t="inlineStr">
        <is>
          <t>TH-0077</t>
        </is>
      </c>
      <c r="C78" s="3" t="inlineStr">
        <is>
          <t>Headphones</t>
        </is>
      </c>
      <c r="D78" s="3" t="inlineStr">
        <is>
          <t>Electronics</t>
        </is>
      </c>
      <c r="E78" s="3" t="inlineStr">
        <is>
          <t>East</t>
        </is>
      </c>
      <c r="F78" s="3" t="n">
        <v>2</v>
      </c>
      <c r="G78" s="4" t="n">
        <v>3200</v>
      </c>
      <c r="H78" s="5" t="n">
        <v>0.15</v>
      </c>
      <c r="I78" s="4" t="n">
        <v>5440</v>
      </c>
      <c r="J78" s="4" t="n">
        <v>3372.8</v>
      </c>
      <c r="K78" s="4" t="n">
        <v>2067.2</v>
      </c>
      <c r="L78" s="3" t="inlineStr">
        <is>
          <t>Corporate</t>
        </is>
      </c>
    </row>
    <row r="79">
      <c r="A79" s="6" t="n">
        <v>45968</v>
      </c>
      <c r="B79" t="inlineStr">
        <is>
          <t>TH-0078</t>
        </is>
      </c>
      <c r="C79" t="inlineStr">
        <is>
          <t>Webcam</t>
        </is>
      </c>
      <c r="D79" t="inlineStr">
        <is>
          <t>Electronics</t>
        </is>
      </c>
      <c r="E79" t="inlineStr">
        <is>
          <t>South</t>
        </is>
      </c>
      <c r="F79" t="n">
        <v>1</v>
      </c>
      <c r="G79" s="7" t="n">
        <v>4100</v>
      </c>
      <c r="H79" s="8" t="n">
        <v>0.1</v>
      </c>
      <c r="I79" s="7" t="n">
        <v>3690</v>
      </c>
      <c r="J79" s="7" t="n">
        <v>2214</v>
      </c>
      <c r="K79" s="7" t="n">
        <v>1476</v>
      </c>
      <c r="L79" t="inlineStr">
        <is>
          <t>Corporate</t>
        </is>
      </c>
    </row>
    <row r="80">
      <c r="A80" s="2" t="n">
        <v>45680</v>
      </c>
      <c r="B80" s="3" t="inlineStr">
        <is>
          <t>TH-0079</t>
        </is>
      </c>
      <c r="C80" s="3" t="inlineStr">
        <is>
          <t>Desk Lamp</t>
        </is>
      </c>
      <c r="D80" s="3" t="inlineStr">
        <is>
          <t>Furniture</t>
        </is>
      </c>
      <c r="E80" s="3" t="inlineStr">
        <is>
          <t>South</t>
        </is>
      </c>
      <c r="F80" s="3" t="n">
        <v>3</v>
      </c>
      <c r="G80" s="4" t="n">
        <v>1450</v>
      </c>
      <c r="H80" s="5" t="n">
        <v>0.1</v>
      </c>
      <c r="I80" s="4" t="n">
        <v>3915</v>
      </c>
      <c r="J80" s="4" t="n">
        <v>1644.3</v>
      </c>
      <c r="K80" s="4" t="n">
        <v>2270.7</v>
      </c>
      <c r="L80" s="3" t="inlineStr">
        <is>
          <t>Corporate</t>
        </is>
      </c>
    </row>
    <row r="81">
      <c r="A81" s="6" t="n">
        <v>45878</v>
      </c>
      <c r="B81" t="inlineStr">
        <is>
          <t>TH-0080</t>
        </is>
      </c>
      <c r="C81" t="inlineStr">
        <is>
          <t>Wireless Mouse</t>
        </is>
      </c>
      <c r="D81" t="inlineStr">
        <is>
          <t>Accessories</t>
        </is>
      </c>
      <c r="E81" t="inlineStr">
        <is>
          <t>East</t>
        </is>
      </c>
      <c r="F81" t="n">
        <v>8</v>
      </c>
      <c r="G81" s="7" t="n">
        <v>850</v>
      </c>
      <c r="H81" s="8" t="n">
        <v>0.05</v>
      </c>
      <c r="I81" s="7" t="n">
        <v>6460</v>
      </c>
      <c r="J81" s="7" t="n">
        <v>3100.8</v>
      </c>
      <c r="K81" s="7" t="n">
        <v>3359.2</v>
      </c>
      <c r="L81" t="inlineStr">
        <is>
          <t>Small Business</t>
        </is>
      </c>
    </row>
    <row r="82">
      <c r="A82" s="2" t="n">
        <v>45721</v>
      </c>
      <c r="B82" s="3" t="inlineStr">
        <is>
          <t>TH-0081</t>
        </is>
      </c>
      <c r="C82" s="3" t="inlineStr">
        <is>
          <t>Desk Lamp</t>
        </is>
      </c>
      <c r="D82" s="3" t="inlineStr">
        <is>
          <t>Furniture</t>
        </is>
      </c>
      <c r="E82" s="3" t="inlineStr">
        <is>
          <t>East</t>
        </is>
      </c>
      <c r="F82" s="3" t="n">
        <v>6</v>
      </c>
      <c r="G82" s="4" t="n">
        <v>1450</v>
      </c>
      <c r="H82" s="5" t="n">
        <v>0.1</v>
      </c>
      <c r="I82" s="4" t="n">
        <v>7830</v>
      </c>
      <c r="J82" s="4" t="n">
        <v>3288.6</v>
      </c>
      <c r="K82" s="4" t="n">
        <v>4541.4</v>
      </c>
      <c r="L82" s="3" t="inlineStr">
        <is>
          <t>Small Business</t>
        </is>
      </c>
    </row>
    <row r="83">
      <c r="A83" s="6" t="n">
        <v>45867</v>
      </c>
      <c r="B83" t="inlineStr">
        <is>
          <t>TH-0082</t>
        </is>
      </c>
      <c r="C83" t="inlineStr">
        <is>
          <t>Desk</t>
        </is>
      </c>
      <c r="D83" t="inlineStr">
        <is>
          <t>Furniture</t>
        </is>
      </c>
      <c r="E83" t="inlineStr">
        <is>
          <t>South</t>
        </is>
      </c>
      <c r="F83" t="n">
        <v>2</v>
      </c>
      <c r="G83" s="7" t="n">
        <v>9500</v>
      </c>
      <c r="H83" s="8" t="n">
        <v>0.05</v>
      </c>
      <c r="I83" s="7" t="n">
        <v>18050</v>
      </c>
      <c r="J83" s="7" t="n">
        <v>9927.5</v>
      </c>
      <c r="K83" s="7" t="n">
        <v>8122.5</v>
      </c>
      <c r="L83" t="inlineStr">
        <is>
          <t>Consumer</t>
        </is>
      </c>
    </row>
    <row r="84">
      <c r="A84" s="2" t="n">
        <v>45873</v>
      </c>
      <c r="B84" s="3" t="inlineStr">
        <is>
          <t>TH-0083</t>
        </is>
      </c>
      <c r="C84" s="3" t="inlineStr">
        <is>
          <t>Printer</t>
        </is>
      </c>
      <c r="D84" s="3" t="inlineStr">
        <is>
          <t>Electronics</t>
        </is>
      </c>
      <c r="E84" s="3" t="inlineStr">
        <is>
          <t>South</t>
        </is>
      </c>
      <c r="F84" s="3" t="n">
        <v>8</v>
      </c>
      <c r="G84" s="4" t="n">
        <v>9800</v>
      </c>
      <c r="H84" s="5" t="n">
        <v>0.12</v>
      </c>
      <c r="I84" s="4" t="n">
        <v>68992</v>
      </c>
      <c r="J84" s="4" t="n">
        <v>43464.96</v>
      </c>
      <c r="K84" s="4" t="n">
        <v>25527.04</v>
      </c>
      <c r="L84" s="3" t="inlineStr">
        <is>
          <t>Small Business</t>
        </is>
      </c>
    </row>
    <row r="85">
      <c r="A85" s="6" t="n">
        <v>45949</v>
      </c>
      <c r="B85" t="inlineStr">
        <is>
          <t>TH-0084</t>
        </is>
      </c>
      <c r="C85" t="inlineStr">
        <is>
          <t>Office Chair</t>
        </is>
      </c>
      <c r="D85" t="inlineStr">
        <is>
          <t>Furniture</t>
        </is>
      </c>
      <c r="E85" t="inlineStr">
        <is>
          <t>North</t>
        </is>
      </c>
      <c r="F85" t="n">
        <v>2</v>
      </c>
      <c r="G85" s="7" t="n">
        <v>7800</v>
      </c>
      <c r="H85" s="8" t="n">
        <v>0.15</v>
      </c>
      <c r="I85" s="7" t="n">
        <v>13260</v>
      </c>
      <c r="J85" s="7" t="n">
        <v>7690.8</v>
      </c>
      <c r="K85" s="7" t="n">
        <v>5569.2</v>
      </c>
      <c r="L85" t="inlineStr">
        <is>
          <t>Corporate</t>
        </is>
      </c>
    </row>
    <row r="86">
      <c r="A86" s="2" t="n">
        <v>45804</v>
      </c>
      <c r="B86" s="3" t="inlineStr">
        <is>
          <t>TH-0085</t>
        </is>
      </c>
      <c r="C86" s="3" t="inlineStr">
        <is>
          <t>Monitor</t>
        </is>
      </c>
      <c r="D86" s="3" t="inlineStr">
        <is>
          <t>Electronics</t>
        </is>
      </c>
      <c r="E86" s="3" t="inlineStr">
        <is>
          <t>East</t>
        </is>
      </c>
      <c r="F86" s="3" t="n">
        <v>3</v>
      </c>
      <c r="G86" s="4" t="n">
        <v>12500</v>
      </c>
      <c r="H86" s="5" t="n">
        <v>0.1</v>
      </c>
      <c r="I86" s="4" t="n">
        <v>33750</v>
      </c>
      <c r="J86" s="4" t="n">
        <v>22612.5</v>
      </c>
      <c r="K86" s="4" t="n">
        <v>11137.5</v>
      </c>
      <c r="L86" s="3" t="inlineStr">
        <is>
          <t>Corporate</t>
        </is>
      </c>
    </row>
    <row r="87">
      <c r="A87" s="6" t="n">
        <v>45884</v>
      </c>
      <c r="B87" t="inlineStr">
        <is>
          <t>TH-0086</t>
        </is>
      </c>
      <c r="C87" t="inlineStr">
        <is>
          <t>USB-C Hub</t>
        </is>
      </c>
      <c r="D87" t="inlineStr">
        <is>
          <t>Accessories</t>
        </is>
      </c>
      <c r="E87" t="inlineStr">
        <is>
          <t>West</t>
        </is>
      </c>
      <c r="F87" t="n">
        <v>4</v>
      </c>
      <c r="G87" s="7" t="n">
        <v>2400</v>
      </c>
      <c r="H87" s="8" t="n">
        <v>0.1</v>
      </c>
      <c r="I87" s="7" t="n">
        <v>8640</v>
      </c>
      <c r="J87" s="7" t="n">
        <v>3888</v>
      </c>
      <c r="K87" s="7" t="n">
        <v>4752</v>
      </c>
      <c r="L87" t="inlineStr">
        <is>
          <t>Small Business</t>
        </is>
      </c>
    </row>
    <row r="88">
      <c r="A88" s="2" t="n">
        <v>45744</v>
      </c>
      <c r="B88" s="3" t="inlineStr">
        <is>
          <t>TH-0087</t>
        </is>
      </c>
      <c r="C88" s="3" t="inlineStr">
        <is>
          <t>Printer</t>
        </is>
      </c>
      <c r="D88" s="3" t="inlineStr">
        <is>
          <t>Electronics</t>
        </is>
      </c>
      <c r="E88" s="3" t="inlineStr">
        <is>
          <t>East</t>
        </is>
      </c>
      <c r="F88" s="3" t="n">
        <v>1</v>
      </c>
      <c r="G88" s="4" t="n">
        <v>9800</v>
      </c>
      <c r="H88" s="5" t="n">
        <v>0.1</v>
      </c>
      <c r="I88" s="4" t="n">
        <v>8820</v>
      </c>
      <c r="J88" s="4" t="n">
        <v>5556.6</v>
      </c>
      <c r="K88" s="4" t="n">
        <v>3263.4</v>
      </c>
      <c r="L88" s="3" t="inlineStr">
        <is>
          <t>Consumer</t>
        </is>
      </c>
    </row>
    <row r="89">
      <c r="A89" s="6" t="n">
        <v>45778</v>
      </c>
      <c r="B89" t="inlineStr">
        <is>
          <t>TH-0088</t>
        </is>
      </c>
      <c r="C89" t="inlineStr">
        <is>
          <t>Printer</t>
        </is>
      </c>
      <c r="D89" t="inlineStr">
        <is>
          <t>Electronics</t>
        </is>
      </c>
      <c r="E89" t="inlineStr">
        <is>
          <t>South</t>
        </is>
      </c>
      <c r="F89" t="n">
        <v>2</v>
      </c>
      <c r="G89" s="7" t="n">
        <v>9800</v>
      </c>
      <c r="H89" s="8" t="n">
        <v>0.15</v>
      </c>
      <c r="I89" s="7" t="n">
        <v>16660</v>
      </c>
      <c r="J89" s="7" t="n">
        <v>10495.8</v>
      </c>
      <c r="K89" s="7" t="n">
        <v>6164.2</v>
      </c>
      <c r="L89" t="inlineStr">
        <is>
          <t>Consumer</t>
        </is>
      </c>
    </row>
    <row r="90">
      <c r="A90" s="2" t="n">
        <v>45670</v>
      </c>
      <c r="B90" s="3" t="inlineStr">
        <is>
          <t>TH-0089</t>
        </is>
      </c>
      <c r="C90" s="3" t="inlineStr">
        <is>
          <t>Laptop</t>
        </is>
      </c>
      <c r="D90" s="3" t="inlineStr">
        <is>
          <t>Electronics</t>
        </is>
      </c>
      <c r="E90" s="3" t="inlineStr">
        <is>
          <t>North</t>
        </is>
      </c>
      <c r="F90" s="3" t="n">
        <v>2</v>
      </c>
      <c r="G90" s="4" t="n">
        <v>42000</v>
      </c>
      <c r="H90" s="5" t="n">
        <v>0.08</v>
      </c>
      <c r="I90" s="4" t="n">
        <v>77280</v>
      </c>
      <c r="J90" s="4" t="n">
        <v>55641.6</v>
      </c>
      <c r="K90" s="4" t="n">
        <v>21638.4</v>
      </c>
      <c r="L90" s="3" t="inlineStr">
        <is>
          <t>Corporate</t>
        </is>
      </c>
    </row>
    <row r="91">
      <c r="A91" s="6" t="n">
        <v>45870</v>
      </c>
      <c r="B91" t="inlineStr">
        <is>
          <t>TH-0090</t>
        </is>
      </c>
      <c r="C91" t="inlineStr">
        <is>
          <t>Printer</t>
        </is>
      </c>
      <c r="D91" t="inlineStr">
        <is>
          <t>Electronics</t>
        </is>
      </c>
      <c r="E91" t="inlineStr">
        <is>
          <t>West</t>
        </is>
      </c>
      <c r="F91" t="n">
        <v>3</v>
      </c>
      <c r="G91" s="7" t="n">
        <v>9800</v>
      </c>
      <c r="H91" s="8" t="n">
        <v>0.12</v>
      </c>
      <c r="I91" s="7" t="n">
        <v>25872</v>
      </c>
      <c r="J91" s="7" t="n">
        <v>16299.36</v>
      </c>
      <c r="K91" s="7" t="n">
        <v>9572.639999999999</v>
      </c>
      <c r="L91" t="inlineStr">
        <is>
          <t>Corporate</t>
        </is>
      </c>
    </row>
    <row r="92">
      <c r="A92" s="2" t="n">
        <v>45862</v>
      </c>
      <c r="B92" s="3" t="inlineStr">
        <is>
          <t>TH-0091</t>
        </is>
      </c>
      <c r="C92" s="3" t="inlineStr">
        <is>
          <t>Monitor</t>
        </is>
      </c>
      <c r="D92" s="3" t="inlineStr">
        <is>
          <t>Electronics</t>
        </is>
      </c>
      <c r="E92" s="3" t="inlineStr">
        <is>
          <t>North</t>
        </is>
      </c>
      <c r="F92" s="3" t="n">
        <v>1</v>
      </c>
      <c r="G92" s="4" t="n">
        <v>12500</v>
      </c>
      <c r="H92" s="5" t="n">
        <v>0.12</v>
      </c>
      <c r="I92" s="4" t="n">
        <v>11000</v>
      </c>
      <c r="J92" s="4" t="n">
        <v>7370</v>
      </c>
      <c r="K92" s="4" t="n">
        <v>3630</v>
      </c>
      <c r="L92" s="3" t="inlineStr">
        <is>
          <t>Consumer</t>
        </is>
      </c>
    </row>
    <row r="93">
      <c r="A93" s="6" t="n">
        <v>45875</v>
      </c>
      <c r="B93" t="inlineStr">
        <is>
          <t>TH-0092</t>
        </is>
      </c>
      <c r="C93" t="inlineStr">
        <is>
          <t>Monitor</t>
        </is>
      </c>
      <c r="D93" t="inlineStr">
        <is>
          <t>Electronics</t>
        </is>
      </c>
      <c r="E93" t="inlineStr">
        <is>
          <t>West</t>
        </is>
      </c>
      <c r="F93" t="n">
        <v>1</v>
      </c>
      <c r="G93" s="7" t="n">
        <v>12500</v>
      </c>
      <c r="H93" s="8" t="n">
        <v>0.12</v>
      </c>
      <c r="I93" s="7" t="n">
        <v>11000</v>
      </c>
      <c r="J93" s="7" t="n">
        <v>7370</v>
      </c>
      <c r="K93" s="7" t="n">
        <v>3630</v>
      </c>
      <c r="L93" t="inlineStr">
        <is>
          <t>Consumer</t>
        </is>
      </c>
    </row>
    <row r="94">
      <c r="A94" s="2" t="n">
        <v>45943</v>
      </c>
      <c r="B94" s="3" t="inlineStr">
        <is>
          <t>TH-0093</t>
        </is>
      </c>
      <c r="C94" s="3" t="inlineStr">
        <is>
          <t>Monitor</t>
        </is>
      </c>
      <c r="D94" s="3" t="inlineStr">
        <is>
          <t>Electronics</t>
        </is>
      </c>
      <c r="E94" s="3" t="inlineStr">
        <is>
          <t>West</t>
        </is>
      </c>
      <c r="F94" s="3" t="n">
        <v>8</v>
      </c>
      <c r="G94" s="4" t="n">
        <v>12500</v>
      </c>
      <c r="H94" s="5" t="n">
        <v>0</v>
      </c>
      <c r="I94" s="4" t="n">
        <v>100000</v>
      </c>
      <c r="J94" s="4" t="n">
        <v>67000</v>
      </c>
      <c r="K94" s="4" t="n">
        <v>33000</v>
      </c>
      <c r="L94" s="3" t="inlineStr">
        <is>
          <t>Consumer</t>
        </is>
      </c>
    </row>
    <row r="95">
      <c r="A95" s="6" t="n">
        <v>45895</v>
      </c>
      <c r="B95" t="inlineStr">
        <is>
          <t>TH-0094</t>
        </is>
      </c>
      <c r="C95" t="inlineStr">
        <is>
          <t>Printer</t>
        </is>
      </c>
      <c r="D95" t="inlineStr">
        <is>
          <t>Electronics</t>
        </is>
      </c>
      <c r="E95" t="inlineStr">
        <is>
          <t>East</t>
        </is>
      </c>
      <c r="F95" t="n">
        <v>3</v>
      </c>
      <c r="G95" s="7" t="n">
        <v>9800</v>
      </c>
      <c r="H95" s="8" t="n">
        <v>0.1</v>
      </c>
      <c r="I95" s="7" t="n">
        <v>26460</v>
      </c>
      <c r="J95" s="7" t="n">
        <v>16669.8</v>
      </c>
      <c r="K95" s="7" t="n">
        <v>9790.200000000001</v>
      </c>
      <c r="L95" t="inlineStr">
        <is>
          <t>Corporate</t>
        </is>
      </c>
    </row>
    <row r="96">
      <c r="A96" s="2" t="n">
        <v>45971</v>
      </c>
      <c r="B96" s="3" t="inlineStr">
        <is>
          <t>TH-0095</t>
        </is>
      </c>
      <c r="C96" s="3" t="inlineStr">
        <is>
          <t>Desk Lamp</t>
        </is>
      </c>
      <c r="D96" s="3" t="inlineStr">
        <is>
          <t>Furniture</t>
        </is>
      </c>
      <c r="E96" s="3" t="inlineStr">
        <is>
          <t>West</t>
        </is>
      </c>
      <c r="F96" s="3" t="n">
        <v>6</v>
      </c>
      <c r="G96" s="4" t="n">
        <v>1450</v>
      </c>
      <c r="H96" s="5" t="n">
        <v>0.08</v>
      </c>
      <c r="I96" s="4" t="n">
        <v>8004</v>
      </c>
      <c r="J96" s="4" t="n">
        <v>3361.68</v>
      </c>
      <c r="K96" s="4" t="n">
        <v>4642.32</v>
      </c>
      <c r="L96" s="3" t="inlineStr">
        <is>
          <t>Consumer</t>
        </is>
      </c>
    </row>
    <row r="97">
      <c r="A97" s="6" t="n">
        <v>45901</v>
      </c>
      <c r="B97" t="inlineStr">
        <is>
          <t>TH-0096</t>
        </is>
      </c>
      <c r="C97" t="inlineStr">
        <is>
          <t>USB-C Hub</t>
        </is>
      </c>
      <c r="D97" t="inlineStr">
        <is>
          <t>Accessories</t>
        </is>
      </c>
      <c r="E97" t="inlineStr">
        <is>
          <t>East</t>
        </is>
      </c>
      <c r="F97" t="n">
        <v>2</v>
      </c>
      <c r="G97" s="7" t="n">
        <v>2400</v>
      </c>
      <c r="H97" s="8" t="n">
        <v>0.02</v>
      </c>
      <c r="I97" s="7" t="n">
        <v>4704</v>
      </c>
      <c r="J97" s="7" t="n">
        <v>2116.8</v>
      </c>
      <c r="K97" s="7" t="n">
        <v>2587.2</v>
      </c>
      <c r="L97" t="inlineStr">
        <is>
          <t>Small Business</t>
        </is>
      </c>
    </row>
    <row r="98">
      <c r="A98" s="2" t="n">
        <v>45906</v>
      </c>
      <c r="B98" s="3" t="inlineStr">
        <is>
          <t>TH-0097</t>
        </is>
      </c>
      <c r="C98" s="3" t="inlineStr">
        <is>
          <t>Printer</t>
        </is>
      </c>
      <c r="D98" s="3" t="inlineStr">
        <is>
          <t>Electronics</t>
        </is>
      </c>
      <c r="E98" s="3" t="inlineStr">
        <is>
          <t>North</t>
        </is>
      </c>
      <c r="F98" s="3" t="n">
        <v>2</v>
      </c>
      <c r="G98" s="4" t="n">
        <v>9800</v>
      </c>
      <c r="H98" s="5" t="n">
        <v>0.08</v>
      </c>
      <c r="I98" s="4" t="n">
        <v>18032</v>
      </c>
      <c r="J98" s="4" t="n">
        <v>11360.16</v>
      </c>
      <c r="K98" s="4" t="n">
        <v>6671.84</v>
      </c>
      <c r="L98" s="3" t="inlineStr">
        <is>
          <t>Small Business</t>
        </is>
      </c>
    </row>
    <row r="99">
      <c r="A99" s="6" t="n">
        <v>45804</v>
      </c>
      <c r="B99" t="inlineStr">
        <is>
          <t>TH-0098</t>
        </is>
      </c>
      <c r="C99" t="inlineStr">
        <is>
          <t>Monitor</t>
        </is>
      </c>
      <c r="D99" t="inlineStr">
        <is>
          <t>Electronics</t>
        </is>
      </c>
      <c r="E99" t="inlineStr">
        <is>
          <t>North</t>
        </is>
      </c>
      <c r="F99" t="n">
        <v>2</v>
      </c>
      <c r="G99" s="7" t="n">
        <v>12500</v>
      </c>
      <c r="H99" s="8" t="n">
        <v>0.05</v>
      </c>
      <c r="I99" s="7" t="n">
        <v>23750</v>
      </c>
      <c r="J99" s="7" t="n">
        <v>15912.5</v>
      </c>
      <c r="K99" s="7" t="n">
        <v>7837.5</v>
      </c>
      <c r="L99" t="inlineStr">
        <is>
          <t>Consumer</t>
        </is>
      </c>
    </row>
    <row r="100">
      <c r="A100" s="2" t="n">
        <v>45735</v>
      </c>
      <c r="B100" s="3" t="inlineStr">
        <is>
          <t>TH-0099</t>
        </is>
      </c>
      <c r="C100" s="3" t="inlineStr">
        <is>
          <t>Monitor</t>
        </is>
      </c>
      <c r="D100" s="3" t="inlineStr">
        <is>
          <t>Electronics</t>
        </is>
      </c>
      <c r="E100" s="3" t="inlineStr">
        <is>
          <t>South</t>
        </is>
      </c>
      <c r="F100" s="3" t="n">
        <v>2</v>
      </c>
      <c r="G100" s="4" t="n">
        <v>12500</v>
      </c>
      <c r="H100" s="5" t="n">
        <v>0.02</v>
      </c>
      <c r="I100" s="4" t="n">
        <v>24500</v>
      </c>
      <c r="J100" s="4" t="n">
        <v>16415</v>
      </c>
      <c r="K100" s="4" t="n">
        <v>8085</v>
      </c>
      <c r="L100" s="3" t="inlineStr">
        <is>
          <t>Consumer</t>
        </is>
      </c>
    </row>
    <row r="101">
      <c r="A101" s="6" t="n">
        <v>45870</v>
      </c>
      <c r="B101" t="inlineStr">
        <is>
          <t>TH-0100</t>
        </is>
      </c>
      <c r="C101" t="inlineStr">
        <is>
          <t>Headphones</t>
        </is>
      </c>
      <c r="D101" t="inlineStr">
        <is>
          <t>Electronics</t>
        </is>
      </c>
      <c r="E101" t="inlineStr">
        <is>
          <t>West</t>
        </is>
      </c>
      <c r="F101" t="n">
        <v>2</v>
      </c>
      <c r="G101" s="7" t="n">
        <v>3200</v>
      </c>
      <c r="H101" s="8" t="n">
        <v>0.08</v>
      </c>
      <c r="I101" s="7" t="n">
        <v>5888</v>
      </c>
      <c r="J101" s="7" t="n">
        <v>3650.56</v>
      </c>
      <c r="K101" s="7" t="n">
        <v>2237.44</v>
      </c>
      <c r="L101" t="inlineStr">
        <is>
          <t>Consumer</t>
        </is>
      </c>
    </row>
    <row r="102">
      <c r="A102" s="2" t="n">
        <v>45763</v>
      </c>
      <c r="B102" s="3" t="inlineStr">
        <is>
          <t>TH-0101</t>
        </is>
      </c>
      <c r="C102" s="3" t="inlineStr">
        <is>
          <t>Headphones</t>
        </is>
      </c>
      <c r="D102" s="3" t="inlineStr">
        <is>
          <t>Electronics</t>
        </is>
      </c>
      <c r="E102" s="3" t="inlineStr">
        <is>
          <t>North</t>
        </is>
      </c>
      <c r="F102" s="3" t="n">
        <v>2</v>
      </c>
      <c r="G102" s="4" t="n">
        <v>3200</v>
      </c>
      <c r="H102" s="5" t="n">
        <v>0.15</v>
      </c>
      <c r="I102" s="4" t="n">
        <v>5440</v>
      </c>
      <c r="J102" s="4" t="n">
        <v>3372.8</v>
      </c>
      <c r="K102" s="4" t="n">
        <v>2067.2</v>
      </c>
      <c r="L102" s="3" t="inlineStr">
        <is>
          <t>Small Business</t>
        </is>
      </c>
    </row>
    <row r="103">
      <c r="A103" s="6" t="n">
        <v>45852</v>
      </c>
      <c r="B103" t="inlineStr">
        <is>
          <t>TH-0102</t>
        </is>
      </c>
      <c r="C103" t="inlineStr">
        <is>
          <t>USB-C Hub</t>
        </is>
      </c>
      <c r="D103" t="inlineStr">
        <is>
          <t>Accessories</t>
        </is>
      </c>
      <c r="E103" t="inlineStr">
        <is>
          <t>East</t>
        </is>
      </c>
      <c r="F103" t="n">
        <v>1</v>
      </c>
      <c r="G103" s="7" t="n">
        <v>2400</v>
      </c>
      <c r="H103" s="8" t="n">
        <v>0.05</v>
      </c>
      <c r="I103" s="7" t="n">
        <v>2280</v>
      </c>
      <c r="J103" s="7" t="n">
        <v>1026</v>
      </c>
      <c r="K103" s="7" t="n">
        <v>1254</v>
      </c>
      <c r="L103" t="inlineStr">
        <is>
          <t>Corporate</t>
        </is>
      </c>
    </row>
    <row r="104">
      <c r="A104" s="2" t="n">
        <v>45872</v>
      </c>
      <c r="B104" s="3" t="inlineStr">
        <is>
          <t>TH-0103</t>
        </is>
      </c>
      <c r="C104" s="3" t="inlineStr">
        <is>
          <t>Webcam</t>
        </is>
      </c>
      <c r="D104" s="3" t="inlineStr">
        <is>
          <t>Electronics</t>
        </is>
      </c>
      <c r="E104" s="3" t="inlineStr">
        <is>
          <t>South</t>
        </is>
      </c>
      <c r="F104" s="3" t="n">
        <v>5</v>
      </c>
      <c r="G104" s="4" t="n">
        <v>4100</v>
      </c>
      <c r="H104" s="5" t="n">
        <v>0.1</v>
      </c>
      <c r="I104" s="4" t="n">
        <v>18450</v>
      </c>
      <c r="J104" s="4" t="n">
        <v>11070</v>
      </c>
      <c r="K104" s="4" t="n">
        <v>7380</v>
      </c>
      <c r="L104" s="3" t="inlineStr">
        <is>
          <t>Corporate</t>
        </is>
      </c>
    </row>
    <row r="105">
      <c r="A105" s="6" t="n">
        <v>45770</v>
      </c>
      <c r="B105" t="inlineStr">
        <is>
          <t>TH-0104</t>
        </is>
      </c>
      <c r="C105" t="inlineStr">
        <is>
          <t>Office Chair</t>
        </is>
      </c>
      <c r="D105" t="inlineStr">
        <is>
          <t>Furniture</t>
        </is>
      </c>
      <c r="E105" t="inlineStr">
        <is>
          <t>West</t>
        </is>
      </c>
      <c r="F105" t="n">
        <v>3</v>
      </c>
      <c r="G105" s="7" t="n">
        <v>7800</v>
      </c>
      <c r="H105" s="8" t="n">
        <v>0</v>
      </c>
      <c r="I105" s="7" t="n">
        <v>23400</v>
      </c>
      <c r="J105" s="7" t="n">
        <v>13572</v>
      </c>
      <c r="K105" s="7" t="n">
        <v>9828</v>
      </c>
      <c r="L105" t="inlineStr">
        <is>
          <t>Corporate</t>
        </is>
      </c>
    </row>
    <row r="106">
      <c r="A106" s="2" t="n">
        <v>46000</v>
      </c>
      <c r="B106" s="3" t="inlineStr">
        <is>
          <t>TH-0105</t>
        </is>
      </c>
      <c r="C106" s="3" t="inlineStr">
        <is>
          <t>Printer</t>
        </is>
      </c>
      <c r="D106" s="3" t="inlineStr">
        <is>
          <t>Electronics</t>
        </is>
      </c>
      <c r="E106" s="3" t="inlineStr">
        <is>
          <t>South</t>
        </is>
      </c>
      <c r="F106" s="3" t="n">
        <v>5</v>
      </c>
      <c r="G106" s="4" t="n">
        <v>9800</v>
      </c>
      <c r="H106" s="5" t="n">
        <v>0.12</v>
      </c>
      <c r="I106" s="4" t="n">
        <v>43120</v>
      </c>
      <c r="J106" s="4" t="n">
        <v>27165.6</v>
      </c>
      <c r="K106" s="4" t="n">
        <v>15954.4</v>
      </c>
      <c r="L106" s="3" t="inlineStr">
        <is>
          <t>Corporate</t>
        </is>
      </c>
    </row>
    <row r="107">
      <c r="A107" s="6" t="n">
        <v>45723</v>
      </c>
      <c r="B107" t="inlineStr">
        <is>
          <t>TH-0106</t>
        </is>
      </c>
      <c r="C107" t="inlineStr">
        <is>
          <t>Notebook Pack</t>
        </is>
      </c>
      <c r="D107" t="inlineStr">
        <is>
          <t>Stationery</t>
        </is>
      </c>
      <c r="E107" t="inlineStr">
        <is>
          <t>North</t>
        </is>
      </c>
      <c r="F107" t="n">
        <v>3</v>
      </c>
      <c r="G107" s="7" t="n">
        <v>320</v>
      </c>
      <c r="H107" s="8" t="n">
        <v>0.08</v>
      </c>
      <c r="I107" s="7" t="n">
        <v>883.2</v>
      </c>
      <c r="J107" s="7" t="n">
        <v>309.12</v>
      </c>
      <c r="K107" s="7" t="n">
        <v>574.08</v>
      </c>
      <c r="L107" t="inlineStr">
        <is>
          <t>Consumer</t>
        </is>
      </c>
    </row>
    <row r="108">
      <c r="A108" s="2" t="n">
        <v>45987</v>
      </c>
      <c r="B108" s="3" t="inlineStr">
        <is>
          <t>TH-0107</t>
        </is>
      </c>
      <c r="C108" s="3" t="inlineStr">
        <is>
          <t>Headphones</t>
        </is>
      </c>
      <c r="D108" s="3" t="inlineStr">
        <is>
          <t>Electronics</t>
        </is>
      </c>
      <c r="E108" s="3" t="inlineStr">
        <is>
          <t>South</t>
        </is>
      </c>
      <c r="F108" s="3" t="n">
        <v>1</v>
      </c>
      <c r="G108" s="4" t="n">
        <v>3200</v>
      </c>
      <c r="H108" s="5" t="n">
        <v>0.08</v>
      </c>
      <c r="I108" s="4" t="n">
        <v>2944</v>
      </c>
      <c r="J108" s="4" t="n">
        <v>1825.28</v>
      </c>
      <c r="K108" s="4" t="n">
        <v>1118.72</v>
      </c>
      <c r="L108" s="3" t="inlineStr">
        <is>
          <t>Consumer</t>
        </is>
      </c>
    </row>
    <row r="109">
      <c r="A109" s="6" t="n">
        <v>45791</v>
      </c>
      <c r="B109" t="inlineStr">
        <is>
          <t>TH-0108</t>
        </is>
      </c>
      <c r="C109" t="inlineStr">
        <is>
          <t>Headphones</t>
        </is>
      </c>
      <c r="D109" t="inlineStr">
        <is>
          <t>Electronics</t>
        </is>
      </c>
      <c r="E109" t="inlineStr">
        <is>
          <t>East</t>
        </is>
      </c>
      <c r="F109" t="n">
        <v>2</v>
      </c>
      <c r="G109" s="7" t="n">
        <v>3200</v>
      </c>
      <c r="H109" s="8" t="n">
        <v>0.08</v>
      </c>
      <c r="I109" s="7" t="n">
        <v>5888</v>
      </c>
      <c r="J109" s="7" t="n">
        <v>3650.56</v>
      </c>
      <c r="K109" s="7" t="n">
        <v>2237.44</v>
      </c>
      <c r="L109" t="inlineStr">
        <is>
          <t>Corporate</t>
        </is>
      </c>
    </row>
    <row r="110">
      <c r="A110" s="2" t="n">
        <v>45852</v>
      </c>
      <c r="B110" s="3" t="inlineStr">
        <is>
          <t>TH-0109</t>
        </is>
      </c>
      <c r="C110" s="3" t="inlineStr">
        <is>
          <t>Office Chair</t>
        </is>
      </c>
      <c r="D110" s="3" t="inlineStr">
        <is>
          <t>Furniture</t>
        </is>
      </c>
      <c r="E110" s="3" t="inlineStr">
        <is>
          <t>West</t>
        </is>
      </c>
      <c r="F110" s="3" t="n">
        <v>5</v>
      </c>
      <c r="G110" s="4" t="n">
        <v>7800</v>
      </c>
      <c r="H110" s="5" t="n">
        <v>0.15</v>
      </c>
      <c r="I110" s="4" t="n">
        <v>33150</v>
      </c>
      <c r="J110" s="4" t="n">
        <v>19227</v>
      </c>
      <c r="K110" s="4" t="n">
        <v>13923</v>
      </c>
      <c r="L110" s="3" t="inlineStr">
        <is>
          <t>Corporate</t>
        </is>
      </c>
    </row>
    <row r="111">
      <c r="A111" s="6" t="n">
        <v>45699</v>
      </c>
      <c r="B111" t="inlineStr">
        <is>
          <t>TH-0110</t>
        </is>
      </c>
      <c r="C111" t="inlineStr">
        <is>
          <t>USB-C Hub</t>
        </is>
      </c>
      <c r="D111" t="inlineStr">
        <is>
          <t>Accessories</t>
        </is>
      </c>
      <c r="E111" t="inlineStr">
        <is>
          <t>North</t>
        </is>
      </c>
      <c r="F111" t="n">
        <v>1</v>
      </c>
      <c r="G111" s="7" t="n">
        <v>2400</v>
      </c>
      <c r="H111" s="8" t="n">
        <v>0.1</v>
      </c>
      <c r="I111" s="7" t="n">
        <v>2160</v>
      </c>
      <c r="J111" s="7" t="n">
        <v>972</v>
      </c>
      <c r="K111" s="7" t="n">
        <v>1188</v>
      </c>
      <c r="L111" t="inlineStr">
        <is>
          <t>Corporate</t>
        </is>
      </c>
    </row>
    <row r="112">
      <c r="A112" s="2" t="n">
        <v>45772</v>
      </c>
      <c r="B112" s="3" t="inlineStr">
        <is>
          <t>TH-0111</t>
        </is>
      </c>
      <c r="C112" s="3" t="inlineStr">
        <is>
          <t>Printer</t>
        </is>
      </c>
      <c r="D112" s="3" t="inlineStr">
        <is>
          <t>Electronics</t>
        </is>
      </c>
      <c r="E112" s="3" t="inlineStr">
        <is>
          <t>North</t>
        </is>
      </c>
      <c r="F112" s="3" t="n">
        <v>1</v>
      </c>
      <c r="G112" s="4" t="n">
        <v>9800</v>
      </c>
      <c r="H112" s="5" t="n">
        <v>0.12</v>
      </c>
      <c r="I112" s="4" t="n">
        <v>8624</v>
      </c>
      <c r="J112" s="4" t="n">
        <v>5433.12</v>
      </c>
      <c r="K112" s="4" t="n">
        <v>3190.88</v>
      </c>
      <c r="L112" s="3" t="inlineStr">
        <is>
          <t>Consumer</t>
        </is>
      </c>
    </row>
    <row r="113">
      <c r="A113" s="6" t="n">
        <v>45784</v>
      </c>
      <c r="B113" t="inlineStr">
        <is>
          <t>TH-0112</t>
        </is>
      </c>
      <c r="C113" t="inlineStr">
        <is>
          <t>Monitor</t>
        </is>
      </c>
      <c r="D113" t="inlineStr">
        <is>
          <t>Electronics</t>
        </is>
      </c>
      <c r="E113" t="inlineStr">
        <is>
          <t>South</t>
        </is>
      </c>
      <c r="F113" t="n">
        <v>5</v>
      </c>
      <c r="G113" s="7" t="n">
        <v>12500</v>
      </c>
      <c r="H113" s="8" t="n">
        <v>0.1</v>
      </c>
      <c r="I113" s="7" t="n">
        <v>56250</v>
      </c>
      <c r="J113" s="7" t="n">
        <v>37687.5</v>
      </c>
      <c r="K113" s="7" t="n">
        <v>18562.5</v>
      </c>
      <c r="L113" t="inlineStr">
        <is>
          <t>Consumer</t>
        </is>
      </c>
    </row>
    <row r="114">
      <c r="A114" s="2" t="n">
        <v>45722</v>
      </c>
      <c r="B114" s="3" t="inlineStr">
        <is>
          <t>TH-0113</t>
        </is>
      </c>
      <c r="C114" s="3" t="inlineStr">
        <is>
          <t>USB-C Hub</t>
        </is>
      </c>
      <c r="D114" s="3" t="inlineStr">
        <is>
          <t>Accessories</t>
        </is>
      </c>
      <c r="E114" s="3" t="inlineStr">
        <is>
          <t>South</t>
        </is>
      </c>
      <c r="F114" s="3" t="n">
        <v>4</v>
      </c>
      <c r="G114" s="4" t="n">
        <v>2400</v>
      </c>
      <c r="H114" s="5" t="n">
        <v>0.1</v>
      </c>
      <c r="I114" s="4" t="n">
        <v>8640</v>
      </c>
      <c r="J114" s="4" t="n">
        <v>3888</v>
      </c>
      <c r="K114" s="4" t="n">
        <v>4752</v>
      </c>
      <c r="L114" s="3" t="inlineStr">
        <is>
          <t>Corporate</t>
        </is>
      </c>
    </row>
    <row r="115">
      <c r="A115" s="6" t="n">
        <v>46016</v>
      </c>
      <c r="B115" t="inlineStr">
        <is>
          <t>TH-0114</t>
        </is>
      </c>
      <c r="C115" t="inlineStr">
        <is>
          <t>Office Chair</t>
        </is>
      </c>
      <c r="D115" t="inlineStr">
        <is>
          <t>Furniture</t>
        </is>
      </c>
      <c r="E115" t="inlineStr">
        <is>
          <t>North</t>
        </is>
      </c>
      <c r="F115" t="n">
        <v>5</v>
      </c>
      <c r="G115" s="7" t="n">
        <v>7800</v>
      </c>
      <c r="H115" s="8" t="n">
        <v>0.02</v>
      </c>
      <c r="I115" s="7" t="n">
        <v>38220</v>
      </c>
      <c r="J115" s="7" t="n">
        <v>22167.6</v>
      </c>
      <c r="K115" s="7" t="n">
        <v>16052.4</v>
      </c>
      <c r="L115" t="inlineStr">
        <is>
          <t>Consumer</t>
        </is>
      </c>
    </row>
    <row r="116">
      <c r="A116" s="2" t="n">
        <v>45817</v>
      </c>
      <c r="B116" s="3" t="inlineStr">
        <is>
          <t>TH-0115</t>
        </is>
      </c>
      <c r="C116" s="3" t="inlineStr">
        <is>
          <t>Wireless Mouse</t>
        </is>
      </c>
      <c r="D116" s="3" t="inlineStr">
        <is>
          <t>Accessories</t>
        </is>
      </c>
      <c r="E116" s="3" t="inlineStr">
        <is>
          <t>West</t>
        </is>
      </c>
      <c r="F116" s="3" t="n">
        <v>3</v>
      </c>
      <c r="G116" s="4" t="n">
        <v>850</v>
      </c>
      <c r="H116" s="5" t="n">
        <v>0.05</v>
      </c>
      <c r="I116" s="4" t="n">
        <v>2422.5</v>
      </c>
      <c r="J116" s="4" t="n">
        <v>1162.8</v>
      </c>
      <c r="K116" s="4" t="n">
        <v>1259.7</v>
      </c>
      <c r="L116" s="3" t="inlineStr">
        <is>
          <t>Corporate</t>
        </is>
      </c>
    </row>
    <row r="117">
      <c r="A117" s="6" t="n">
        <v>45759</v>
      </c>
      <c r="B117" t="inlineStr">
        <is>
          <t>TH-0116</t>
        </is>
      </c>
      <c r="C117" t="inlineStr">
        <is>
          <t>Wireless Mouse</t>
        </is>
      </c>
      <c r="D117" t="inlineStr">
        <is>
          <t>Accessories</t>
        </is>
      </c>
      <c r="E117" t="inlineStr">
        <is>
          <t>South</t>
        </is>
      </c>
      <c r="F117" t="n">
        <v>3</v>
      </c>
      <c r="G117" s="7" t="n">
        <v>850</v>
      </c>
      <c r="H117" s="8" t="n">
        <v>0.15</v>
      </c>
      <c r="I117" s="7" t="n">
        <v>2167.5</v>
      </c>
      <c r="J117" s="7" t="n">
        <v>1040.4</v>
      </c>
      <c r="K117" s="7" t="n">
        <v>1127.1</v>
      </c>
      <c r="L117" t="inlineStr">
        <is>
          <t>Consumer</t>
        </is>
      </c>
    </row>
    <row r="118">
      <c r="A118" s="2" t="n">
        <v>46014</v>
      </c>
      <c r="B118" s="3" t="inlineStr">
        <is>
          <t>TH-0117</t>
        </is>
      </c>
      <c r="C118" s="3" t="inlineStr">
        <is>
          <t>Office Chair</t>
        </is>
      </c>
      <c r="D118" s="3" t="inlineStr">
        <is>
          <t>Furniture</t>
        </is>
      </c>
      <c r="E118" s="3" t="inlineStr">
        <is>
          <t>North</t>
        </is>
      </c>
      <c r="F118" s="3" t="n">
        <v>6</v>
      </c>
      <c r="G118" s="4" t="n">
        <v>7800</v>
      </c>
      <c r="H118" s="5" t="n">
        <v>0.1</v>
      </c>
      <c r="I118" s="4" t="n">
        <v>42120</v>
      </c>
      <c r="J118" s="4" t="n">
        <v>24429.6</v>
      </c>
      <c r="K118" s="4" t="n">
        <v>17690.4</v>
      </c>
      <c r="L118" s="3" t="inlineStr">
        <is>
          <t>Small Business</t>
        </is>
      </c>
    </row>
    <row r="119">
      <c r="A119" s="6" t="n">
        <v>45679</v>
      </c>
      <c r="B119" t="inlineStr">
        <is>
          <t>TH-0118</t>
        </is>
      </c>
      <c r="C119" t="inlineStr">
        <is>
          <t>Desk</t>
        </is>
      </c>
      <c r="D119" t="inlineStr">
        <is>
          <t>Furniture</t>
        </is>
      </c>
      <c r="E119" t="inlineStr">
        <is>
          <t>East</t>
        </is>
      </c>
      <c r="F119" t="n">
        <v>3</v>
      </c>
      <c r="G119" s="7" t="n">
        <v>9500</v>
      </c>
      <c r="H119" s="8" t="n">
        <v>0.12</v>
      </c>
      <c r="I119" s="7" t="n">
        <v>25080</v>
      </c>
      <c r="J119" s="7" t="n">
        <v>13794</v>
      </c>
      <c r="K119" s="7" t="n">
        <v>11286</v>
      </c>
      <c r="L119" t="inlineStr">
        <is>
          <t>Consumer</t>
        </is>
      </c>
    </row>
    <row r="120">
      <c r="A120" s="2" t="n">
        <v>45917</v>
      </c>
      <c r="B120" s="3" t="inlineStr">
        <is>
          <t>TH-0119</t>
        </is>
      </c>
      <c r="C120" s="3" t="inlineStr">
        <is>
          <t>Printer</t>
        </is>
      </c>
      <c r="D120" s="3" t="inlineStr">
        <is>
          <t>Electronics</t>
        </is>
      </c>
      <c r="E120" s="3" t="inlineStr">
        <is>
          <t>West</t>
        </is>
      </c>
      <c r="F120" s="3" t="n">
        <v>2</v>
      </c>
      <c r="G120" s="4" t="n">
        <v>9800</v>
      </c>
      <c r="H120" s="5" t="n">
        <v>0.15</v>
      </c>
      <c r="I120" s="4" t="n">
        <v>16660</v>
      </c>
      <c r="J120" s="4" t="n">
        <v>10495.8</v>
      </c>
      <c r="K120" s="4" t="n">
        <v>6164.2</v>
      </c>
      <c r="L120" s="3" t="inlineStr">
        <is>
          <t>Corporate</t>
        </is>
      </c>
    </row>
    <row r="121">
      <c r="A121" s="6" t="n">
        <v>45712</v>
      </c>
      <c r="B121" t="inlineStr">
        <is>
          <t>TH-0120</t>
        </is>
      </c>
      <c r="C121" t="inlineStr">
        <is>
          <t>Headphones</t>
        </is>
      </c>
      <c r="D121" t="inlineStr">
        <is>
          <t>Electronics</t>
        </is>
      </c>
      <c r="E121" t="inlineStr">
        <is>
          <t>West</t>
        </is>
      </c>
      <c r="F121" t="n">
        <v>10</v>
      </c>
      <c r="G121" s="7" t="n">
        <v>3200</v>
      </c>
      <c r="H121" s="8" t="n">
        <v>0.12</v>
      </c>
      <c r="I121" s="7" t="n">
        <v>28160</v>
      </c>
      <c r="J121" s="7" t="n">
        <v>17459.2</v>
      </c>
      <c r="K121" s="7" t="n">
        <v>10700.8</v>
      </c>
      <c r="L121" t="inlineStr">
        <is>
          <t>Small Business</t>
        </is>
      </c>
    </row>
    <row r="122">
      <c r="A122" s="2" t="n">
        <v>45736</v>
      </c>
      <c r="B122" s="3" t="inlineStr">
        <is>
          <t>TH-0121</t>
        </is>
      </c>
      <c r="C122" s="3" t="inlineStr">
        <is>
          <t>Headphones</t>
        </is>
      </c>
      <c r="D122" s="3" t="inlineStr">
        <is>
          <t>Electronics</t>
        </is>
      </c>
      <c r="E122" s="3" t="inlineStr">
        <is>
          <t>East</t>
        </is>
      </c>
      <c r="F122" s="3" t="n">
        <v>1</v>
      </c>
      <c r="G122" s="4" t="n">
        <v>3200</v>
      </c>
      <c r="H122" s="5" t="n">
        <v>0.1</v>
      </c>
      <c r="I122" s="4" t="n">
        <v>2880</v>
      </c>
      <c r="J122" s="4" t="n">
        <v>1785.6</v>
      </c>
      <c r="K122" s="4" t="n">
        <v>1094.4</v>
      </c>
      <c r="L122" s="3" t="inlineStr">
        <is>
          <t>Small Business</t>
        </is>
      </c>
    </row>
    <row r="123">
      <c r="A123" s="6" t="n">
        <v>45933</v>
      </c>
      <c r="B123" t="inlineStr">
        <is>
          <t>TH-0122</t>
        </is>
      </c>
      <c r="C123" t="inlineStr">
        <is>
          <t>USB-C Hub</t>
        </is>
      </c>
      <c r="D123" t="inlineStr">
        <is>
          <t>Accessories</t>
        </is>
      </c>
      <c r="E123" t="inlineStr">
        <is>
          <t>East</t>
        </is>
      </c>
      <c r="F123" t="n">
        <v>3</v>
      </c>
      <c r="G123" s="7" t="n">
        <v>2400</v>
      </c>
      <c r="H123" s="8" t="n">
        <v>0.15</v>
      </c>
      <c r="I123" s="7" t="n">
        <v>6120</v>
      </c>
      <c r="J123" s="7" t="n">
        <v>2754</v>
      </c>
      <c r="K123" s="7" t="n">
        <v>3366</v>
      </c>
      <c r="L123" t="inlineStr">
        <is>
          <t>Corporate</t>
        </is>
      </c>
    </row>
    <row r="124">
      <c r="A124" s="2" t="n">
        <v>45783</v>
      </c>
      <c r="B124" s="3" t="inlineStr">
        <is>
          <t>TH-0123</t>
        </is>
      </c>
      <c r="C124" s="3" t="inlineStr">
        <is>
          <t>Wireless Mouse</t>
        </is>
      </c>
      <c r="D124" s="3" t="inlineStr">
        <is>
          <t>Accessories</t>
        </is>
      </c>
      <c r="E124" s="3" t="inlineStr">
        <is>
          <t>South</t>
        </is>
      </c>
      <c r="F124" s="3" t="n">
        <v>2</v>
      </c>
      <c r="G124" s="4" t="n">
        <v>850</v>
      </c>
      <c r="H124" s="5" t="n">
        <v>0.08</v>
      </c>
      <c r="I124" s="4" t="n">
        <v>1564</v>
      </c>
      <c r="J124" s="4" t="n">
        <v>750.72</v>
      </c>
      <c r="K124" s="4" t="n">
        <v>813.28</v>
      </c>
      <c r="L124" s="3" t="inlineStr">
        <is>
          <t>Corporate</t>
        </is>
      </c>
    </row>
    <row r="125">
      <c r="A125" s="6" t="n">
        <v>45949</v>
      </c>
      <c r="B125" t="inlineStr">
        <is>
          <t>TH-0124</t>
        </is>
      </c>
      <c r="C125" t="inlineStr">
        <is>
          <t>Notebook Pack</t>
        </is>
      </c>
      <c r="D125" t="inlineStr">
        <is>
          <t>Stationery</t>
        </is>
      </c>
      <c r="E125" t="inlineStr">
        <is>
          <t>North</t>
        </is>
      </c>
      <c r="F125" t="n">
        <v>4</v>
      </c>
      <c r="G125" s="7" t="n">
        <v>320</v>
      </c>
      <c r="H125" s="8" t="n">
        <v>0.05</v>
      </c>
      <c r="I125" s="7" t="n">
        <v>1216</v>
      </c>
      <c r="J125" s="7" t="n">
        <v>425.6</v>
      </c>
      <c r="K125" s="7" t="n">
        <v>790.4</v>
      </c>
      <c r="L125" t="inlineStr">
        <is>
          <t>Corporate</t>
        </is>
      </c>
    </row>
    <row r="126">
      <c r="A126" s="2" t="n">
        <v>45824</v>
      </c>
      <c r="B126" s="3" t="inlineStr">
        <is>
          <t>TH-0125</t>
        </is>
      </c>
      <c r="C126" s="3" t="inlineStr">
        <is>
          <t>Keyboard</t>
        </is>
      </c>
      <c r="D126" s="3" t="inlineStr">
        <is>
          <t>Accessories</t>
        </is>
      </c>
      <c r="E126" s="3" t="inlineStr">
        <is>
          <t>East</t>
        </is>
      </c>
      <c r="F126" s="3" t="n">
        <v>3</v>
      </c>
      <c r="G126" s="4" t="n">
        <v>1600</v>
      </c>
      <c r="H126" s="5" t="n">
        <v>0.05</v>
      </c>
      <c r="I126" s="4" t="n">
        <v>4560</v>
      </c>
      <c r="J126" s="4" t="n">
        <v>2371.2</v>
      </c>
      <c r="K126" s="4" t="n">
        <v>2188.8</v>
      </c>
      <c r="L126" s="3" t="inlineStr">
        <is>
          <t>Corporate</t>
        </is>
      </c>
    </row>
    <row r="127">
      <c r="A127" s="6" t="n">
        <v>45801</v>
      </c>
      <c r="B127" t="inlineStr">
        <is>
          <t>TH-0126</t>
        </is>
      </c>
      <c r="C127" t="inlineStr">
        <is>
          <t>Notebook Pack</t>
        </is>
      </c>
      <c r="D127" t="inlineStr">
        <is>
          <t>Stationery</t>
        </is>
      </c>
      <c r="E127" t="inlineStr">
        <is>
          <t>North</t>
        </is>
      </c>
      <c r="F127" t="n">
        <v>4</v>
      </c>
      <c r="G127" s="7" t="n">
        <v>320</v>
      </c>
      <c r="H127" s="8" t="n">
        <v>0.05</v>
      </c>
      <c r="I127" s="7" t="n">
        <v>1216</v>
      </c>
      <c r="J127" s="7" t="n">
        <v>425.6</v>
      </c>
      <c r="K127" s="7" t="n">
        <v>790.4</v>
      </c>
      <c r="L127" t="inlineStr">
        <is>
          <t>Small Business</t>
        </is>
      </c>
    </row>
    <row r="128">
      <c r="A128" s="2" t="n">
        <v>45755</v>
      </c>
      <c r="B128" s="3" t="inlineStr">
        <is>
          <t>TH-0127</t>
        </is>
      </c>
      <c r="C128" s="3" t="inlineStr">
        <is>
          <t>Wireless Mouse</t>
        </is>
      </c>
      <c r="D128" s="3" t="inlineStr">
        <is>
          <t>Accessories</t>
        </is>
      </c>
      <c r="E128" s="3" t="inlineStr">
        <is>
          <t>West</t>
        </is>
      </c>
      <c r="F128" s="3" t="n">
        <v>2</v>
      </c>
      <c r="G128" s="4" t="n">
        <v>850</v>
      </c>
      <c r="H128" s="5" t="n">
        <v>0.08</v>
      </c>
      <c r="I128" s="4" t="n">
        <v>1564</v>
      </c>
      <c r="J128" s="4" t="n">
        <v>750.72</v>
      </c>
      <c r="K128" s="4" t="n">
        <v>813.28</v>
      </c>
      <c r="L128" s="3" t="inlineStr">
        <is>
          <t>Small Business</t>
        </is>
      </c>
    </row>
    <row r="129">
      <c r="A129" s="6" t="n">
        <v>45781</v>
      </c>
      <c r="B129" t="inlineStr">
        <is>
          <t>TH-0128</t>
        </is>
      </c>
      <c r="C129" t="inlineStr">
        <is>
          <t>Desk Lamp</t>
        </is>
      </c>
      <c r="D129" t="inlineStr">
        <is>
          <t>Furniture</t>
        </is>
      </c>
      <c r="E129" t="inlineStr">
        <is>
          <t>West</t>
        </is>
      </c>
      <c r="F129" t="n">
        <v>3</v>
      </c>
      <c r="G129" s="7" t="n">
        <v>1450</v>
      </c>
      <c r="H129" s="8" t="n">
        <v>0.12</v>
      </c>
      <c r="I129" s="7" t="n">
        <v>3828</v>
      </c>
      <c r="J129" s="7" t="n">
        <v>1607.76</v>
      </c>
      <c r="K129" s="7" t="n">
        <v>2220.24</v>
      </c>
      <c r="L129" t="inlineStr">
        <is>
          <t>Corporate</t>
        </is>
      </c>
    </row>
    <row r="130">
      <c r="A130" s="2" t="n">
        <v>45666</v>
      </c>
      <c r="B130" s="3" t="inlineStr">
        <is>
          <t>TH-0129</t>
        </is>
      </c>
      <c r="C130" s="3" t="inlineStr">
        <is>
          <t>Wireless Mouse</t>
        </is>
      </c>
      <c r="D130" s="3" t="inlineStr">
        <is>
          <t>Accessories</t>
        </is>
      </c>
      <c r="E130" s="3" t="inlineStr">
        <is>
          <t>South</t>
        </is>
      </c>
      <c r="F130" s="3" t="n">
        <v>2</v>
      </c>
      <c r="G130" s="4" t="n">
        <v>850</v>
      </c>
      <c r="H130" s="5" t="n">
        <v>0.08</v>
      </c>
      <c r="I130" s="4" t="n">
        <v>1564</v>
      </c>
      <c r="J130" s="4" t="n">
        <v>750.72</v>
      </c>
      <c r="K130" s="4" t="n">
        <v>813.28</v>
      </c>
      <c r="L130" s="3" t="inlineStr">
        <is>
          <t>Corporate</t>
        </is>
      </c>
    </row>
    <row r="131">
      <c r="A131" s="6" t="n">
        <v>45997</v>
      </c>
      <c r="B131" t="inlineStr">
        <is>
          <t>TH-0130</t>
        </is>
      </c>
      <c r="C131" t="inlineStr">
        <is>
          <t>Notebook Pack</t>
        </is>
      </c>
      <c r="D131" t="inlineStr">
        <is>
          <t>Stationery</t>
        </is>
      </c>
      <c r="E131" t="inlineStr">
        <is>
          <t>East</t>
        </is>
      </c>
      <c r="F131" t="n">
        <v>2</v>
      </c>
      <c r="G131" s="7" t="n">
        <v>320</v>
      </c>
      <c r="H131" s="8" t="n">
        <v>0.1</v>
      </c>
      <c r="I131" s="7" t="n">
        <v>576</v>
      </c>
      <c r="J131" s="7" t="n">
        <v>201.6</v>
      </c>
      <c r="K131" s="7" t="n">
        <v>374.4</v>
      </c>
      <c r="L131" t="inlineStr">
        <is>
          <t>Corporate</t>
        </is>
      </c>
    </row>
    <row r="132">
      <c r="A132" s="2" t="n">
        <v>45939</v>
      </c>
      <c r="B132" s="3" t="inlineStr">
        <is>
          <t>TH-0131</t>
        </is>
      </c>
      <c r="C132" s="3" t="inlineStr">
        <is>
          <t>Desk</t>
        </is>
      </c>
      <c r="D132" s="3" t="inlineStr">
        <is>
          <t>Furniture</t>
        </is>
      </c>
      <c r="E132" s="3" t="inlineStr">
        <is>
          <t>East</t>
        </is>
      </c>
      <c r="F132" s="3" t="n">
        <v>2</v>
      </c>
      <c r="G132" s="4" t="n">
        <v>9500</v>
      </c>
      <c r="H132" s="5" t="n">
        <v>0.08</v>
      </c>
      <c r="I132" s="4" t="n">
        <v>17480</v>
      </c>
      <c r="J132" s="4" t="n">
        <v>9614</v>
      </c>
      <c r="K132" s="4" t="n">
        <v>7866</v>
      </c>
      <c r="L132" s="3" t="inlineStr">
        <is>
          <t>Corporate</t>
        </is>
      </c>
    </row>
    <row r="133">
      <c r="A133" s="6" t="n">
        <v>45786</v>
      </c>
      <c r="B133" t="inlineStr">
        <is>
          <t>TH-0132</t>
        </is>
      </c>
      <c r="C133" t="inlineStr">
        <is>
          <t>Monitor</t>
        </is>
      </c>
      <c r="D133" t="inlineStr">
        <is>
          <t>Electronics</t>
        </is>
      </c>
      <c r="E133" t="inlineStr">
        <is>
          <t>East</t>
        </is>
      </c>
      <c r="F133" t="n">
        <v>1</v>
      </c>
      <c r="G133" s="7" t="n">
        <v>12500</v>
      </c>
      <c r="H133" s="8" t="n">
        <v>0.02</v>
      </c>
      <c r="I133" s="7" t="n">
        <v>12250</v>
      </c>
      <c r="J133" s="7" t="n">
        <v>8207.5</v>
      </c>
      <c r="K133" s="7" t="n">
        <v>4042.5</v>
      </c>
      <c r="L133" t="inlineStr">
        <is>
          <t>Consumer</t>
        </is>
      </c>
    </row>
    <row r="134">
      <c r="A134" s="2" t="n">
        <v>45932</v>
      </c>
      <c r="B134" s="3" t="inlineStr">
        <is>
          <t>TH-0133</t>
        </is>
      </c>
      <c r="C134" s="3" t="inlineStr">
        <is>
          <t>Desk Lamp</t>
        </is>
      </c>
      <c r="D134" s="3" t="inlineStr">
        <is>
          <t>Furniture</t>
        </is>
      </c>
      <c r="E134" s="3" t="inlineStr">
        <is>
          <t>West</t>
        </is>
      </c>
      <c r="F134" s="3" t="n">
        <v>1</v>
      </c>
      <c r="G134" s="4" t="n">
        <v>1450</v>
      </c>
      <c r="H134" s="5" t="n">
        <v>0.02</v>
      </c>
      <c r="I134" s="4" t="n">
        <v>1421</v>
      </c>
      <c r="J134" s="4" t="n">
        <v>596.8200000000001</v>
      </c>
      <c r="K134" s="4" t="n">
        <v>824.1799999999999</v>
      </c>
      <c r="L134" s="3" t="inlineStr">
        <is>
          <t>Corporate</t>
        </is>
      </c>
    </row>
    <row r="135">
      <c r="A135" s="6" t="n">
        <v>45959</v>
      </c>
      <c r="B135" t="inlineStr">
        <is>
          <t>TH-0134</t>
        </is>
      </c>
      <c r="C135" t="inlineStr">
        <is>
          <t>Webcam</t>
        </is>
      </c>
      <c r="D135" t="inlineStr">
        <is>
          <t>Electronics</t>
        </is>
      </c>
      <c r="E135" t="inlineStr">
        <is>
          <t>South</t>
        </is>
      </c>
      <c r="F135" t="n">
        <v>3</v>
      </c>
      <c r="G135" s="7" t="n">
        <v>4100</v>
      </c>
      <c r="H135" s="8" t="n">
        <v>0</v>
      </c>
      <c r="I135" s="7" t="n">
        <v>12300</v>
      </c>
      <c r="J135" s="7" t="n">
        <v>7380</v>
      </c>
      <c r="K135" s="7" t="n">
        <v>4920</v>
      </c>
      <c r="L135" t="inlineStr">
        <is>
          <t>Corporate</t>
        </is>
      </c>
    </row>
    <row r="136">
      <c r="A136" s="2" t="n">
        <v>45774</v>
      </c>
      <c r="B136" s="3" t="inlineStr">
        <is>
          <t>TH-0135</t>
        </is>
      </c>
      <c r="C136" s="3" t="inlineStr">
        <is>
          <t>Desk</t>
        </is>
      </c>
      <c r="D136" s="3" t="inlineStr">
        <is>
          <t>Furniture</t>
        </is>
      </c>
      <c r="E136" s="3" t="inlineStr">
        <is>
          <t>South</t>
        </is>
      </c>
      <c r="F136" s="3" t="n">
        <v>1</v>
      </c>
      <c r="G136" s="4" t="n">
        <v>9500</v>
      </c>
      <c r="H136" s="5" t="n">
        <v>0</v>
      </c>
      <c r="I136" s="4" t="n">
        <v>9500</v>
      </c>
      <c r="J136" s="4" t="n">
        <v>5225</v>
      </c>
      <c r="K136" s="4" t="n">
        <v>4275</v>
      </c>
      <c r="L136" s="3" t="inlineStr">
        <is>
          <t>Corporate</t>
        </is>
      </c>
    </row>
    <row r="137">
      <c r="A137" s="6" t="n">
        <v>45681</v>
      </c>
      <c r="B137" t="inlineStr">
        <is>
          <t>TH-0136</t>
        </is>
      </c>
      <c r="C137" t="inlineStr">
        <is>
          <t>Laptop</t>
        </is>
      </c>
      <c r="D137" t="inlineStr">
        <is>
          <t>Electronics</t>
        </is>
      </c>
      <c r="E137" t="inlineStr">
        <is>
          <t>South</t>
        </is>
      </c>
      <c r="F137" t="n">
        <v>3</v>
      </c>
      <c r="G137" s="7" t="n">
        <v>42000</v>
      </c>
      <c r="H137" s="8" t="n">
        <v>0.12</v>
      </c>
      <c r="I137" s="7" t="n">
        <v>110880</v>
      </c>
      <c r="J137" s="7" t="n">
        <v>79833.60000000001</v>
      </c>
      <c r="K137" s="7" t="n">
        <v>31046.4</v>
      </c>
      <c r="L137" t="inlineStr">
        <is>
          <t>Small Business</t>
        </is>
      </c>
    </row>
    <row r="138">
      <c r="A138" s="2" t="n">
        <v>45909</v>
      </c>
      <c r="B138" s="3" t="inlineStr">
        <is>
          <t>TH-0137</t>
        </is>
      </c>
      <c r="C138" s="3" t="inlineStr">
        <is>
          <t>Wireless Mouse</t>
        </is>
      </c>
      <c r="D138" s="3" t="inlineStr">
        <is>
          <t>Accessories</t>
        </is>
      </c>
      <c r="E138" s="3" t="inlineStr">
        <is>
          <t>East</t>
        </is>
      </c>
      <c r="F138" s="3" t="n">
        <v>6</v>
      </c>
      <c r="G138" s="4" t="n">
        <v>850</v>
      </c>
      <c r="H138" s="5" t="n">
        <v>0.1</v>
      </c>
      <c r="I138" s="4" t="n">
        <v>4590</v>
      </c>
      <c r="J138" s="4" t="n">
        <v>2203.2</v>
      </c>
      <c r="K138" s="4" t="n">
        <v>2386.8</v>
      </c>
      <c r="L138" s="3" t="inlineStr">
        <is>
          <t>Corporate</t>
        </is>
      </c>
    </row>
    <row r="139">
      <c r="A139" s="6" t="n">
        <v>45903</v>
      </c>
      <c r="B139" t="inlineStr">
        <is>
          <t>TH-0138</t>
        </is>
      </c>
      <c r="C139" t="inlineStr">
        <is>
          <t>USB-C Hub</t>
        </is>
      </c>
      <c r="D139" t="inlineStr">
        <is>
          <t>Accessories</t>
        </is>
      </c>
      <c r="E139" t="inlineStr">
        <is>
          <t>East</t>
        </is>
      </c>
      <c r="F139" t="n">
        <v>2</v>
      </c>
      <c r="G139" s="7" t="n">
        <v>2400</v>
      </c>
      <c r="H139" s="8" t="n">
        <v>0</v>
      </c>
      <c r="I139" s="7" t="n">
        <v>4800</v>
      </c>
      <c r="J139" s="7" t="n">
        <v>2160</v>
      </c>
      <c r="K139" s="7" t="n">
        <v>2640</v>
      </c>
      <c r="L139" t="inlineStr">
        <is>
          <t>Corporate</t>
        </is>
      </c>
    </row>
    <row r="140">
      <c r="A140" s="2" t="n">
        <v>45716</v>
      </c>
      <c r="B140" s="3" t="inlineStr">
        <is>
          <t>TH-0139</t>
        </is>
      </c>
      <c r="C140" s="3" t="inlineStr">
        <is>
          <t>Wireless Mouse</t>
        </is>
      </c>
      <c r="D140" s="3" t="inlineStr">
        <is>
          <t>Accessories</t>
        </is>
      </c>
      <c r="E140" s="3" t="inlineStr">
        <is>
          <t>North</t>
        </is>
      </c>
      <c r="F140" s="3" t="n">
        <v>2</v>
      </c>
      <c r="G140" s="4" t="n">
        <v>850</v>
      </c>
      <c r="H140" s="5" t="n">
        <v>0</v>
      </c>
      <c r="I140" s="4" t="n">
        <v>1700</v>
      </c>
      <c r="J140" s="4" t="n">
        <v>816</v>
      </c>
      <c r="K140" s="4" t="n">
        <v>884</v>
      </c>
      <c r="L140" s="3" t="inlineStr">
        <is>
          <t>Consumer</t>
        </is>
      </c>
    </row>
    <row r="141">
      <c r="A141" s="6" t="n">
        <v>45734</v>
      </c>
      <c r="B141" t="inlineStr">
        <is>
          <t>TH-0140</t>
        </is>
      </c>
      <c r="C141" t="inlineStr">
        <is>
          <t>Notebook Pack</t>
        </is>
      </c>
      <c r="D141" t="inlineStr">
        <is>
          <t>Stationery</t>
        </is>
      </c>
      <c r="E141" t="inlineStr">
        <is>
          <t>South</t>
        </is>
      </c>
      <c r="F141" t="n">
        <v>8</v>
      </c>
      <c r="G141" s="7" t="n">
        <v>320</v>
      </c>
      <c r="H141" s="8" t="n">
        <v>0</v>
      </c>
      <c r="I141" s="7" t="n">
        <v>2560</v>
      </c>
      <c r="J141" s="7" t="n">
        <v>896</v>
      </c>
      <c r="K141" s="7" t="n">
        <v>1664</v>
      </c>
      <c r="L141" t="inlineStr">
        <is>
          <t>Consumer</t>
        </is>
      </c>
    </row>
    <row r="142">
      <c r="A142" s="2" t="n">
        <v>45943</v>
      </c>
      <c r="B142" s="3" t="inlineStr">
        <is>
          <t>TH-0141</t>
        </is>
      </c>
      <c r="C142" s="3" t="inlineStr">
        <is>
          <t>Headphones</t>
        </is>
      </c>
      <c r="D142" s="3" t="inlineStr">
        <is>
          <t>Electronics</t>
        </is>
      </c>
      <c r="E142" s="3" t="inlineStr">
        <is>
          <t>South</t>
        </is>
      </c>
      <c r="F142" s="3" t="n">
        <v>4</v>
      </c>
      <c r="G142" s="4" t="n">
        <v>3200</v>
      </c>
      <c r="H142" s="5" t="n">
        <v>0.15</v>
      </c>
      <c r="I142" s="4" t="n">
        <v>10880</v>
      </c>
      <c r="J142" s="4" t="n">
        <v>6745.6</v>
      </c>
      <c r="K142" s="4" t="n">
        <v>4134.4</v>
      </c>
      <c r="L142" s="3" t="inlineStr">
        <is>
          <t>Small Business</t>
        </is>
      </c>
    </row>
    <row r="143">
      <c r="A143" s="6" t="n">
        <v>45852</v>
      </c>
      <c r="B143" t="inlineStr">
        <is>
          <t>TH-0142</t>
        </is>
      </c>
      <c r="C143" t="inlineStr">
        <is>
          <t>USB-C Hub</t>
        </is>
      </c>
      <c r="D143" t="inlineStr">
        <is>
          <t>Accessories</t>
        </is>
      </c>
      <c r="E143" t="inlineStr">
        <is>
          <t>West</t>
        </is>
      </c>
      <c r="F143" t="n">
        <v>6</v>
      </c>
      <c r="G143" s="7" t="n">
        <v>2400</v>
      </c>
      <c r="H143" s="8" t="n">
        <v>0.05</v>
      </c>
      <c r="I143" s="7" t="n">
        <v>13680</v>
      </c>
      <c r="J143" s="7" t="n">
        <v>6156</v>
      </c>
      <c r="K143" s="7" t="n">
        <v>7524</v>
      </c>
      <c r="L143" t="inlineStr">
        <is>
          <t>Corporate</t>
        </is>
      </c>
    </row>
    <row r="144">
      <c r="A144" s="2" t="n">
        <v>45949</v>
      </c>
      <c r="B144" s="3" t="inlineStr">
        <is>
          <t>TH-0143</t>
        </is>
      </c>
      <c r="C144" s="3" t="inlineStr">
        <is>
          <t>Notebook Pack</t>
        </is>
      </c>
      <c r="D144" s="3" t="inlineStr">
        <is>
          <t>Stationery</t>
        </is>
      </c>
      <c r="E144" s="3" t="inlineStr">
        <is>
          <t>North</t>
        </is>
      </c>
      <c r="F144" s="3" t="n">
        <v>1</v>
      </c>
      <c r="G144" s="4" t="n">
        <v>320</v>
      </c>
      <c r="H144" s="5" t="n">
        <v>0.12</v>
      </c>
      <c r="I144" s="4" t="n">
        <v>281.6</v>
      </c>
      <c r="J144" s="4" t="n">
        <v>98.56</v>
      </c>
      <c r="K144" s="4" t="n">
        <v>183.04</v>
      </c>
      <c r="L144" s="3" t="inlineStr">
        <is>
          <t>Consumer</t>
        </is>
      </c>
    </row>
    <row r="145">
      <c r="A145" s="6" t="n">
        <v>45978</v>
      </c>
      <c r="B145" t="inlineStr">
        <is>
          <t>TH-0144</t>
        </is>
      </c>
      <c r="C145" t="inlineStr">
        <is>
          <t>Monitor</t>
        </is>
      </c>
      <c r="D145" t="inlineStr">
        <is>
          <t>Electronics</t>
        </is>
      </c>
      <c r="E145" t="inlineStr">
        <is>
          <t>South</t>
        </is>
      </c>
      <c r="F145" t="n">
        <v>2</v>
      </c>
      <c r="G145" s="7" t="n">
        <v>12500</v>
      </c>
      <c r="H145" s="8" t="n">
        <v>0</v>
      </c>
      <c r="I145" s="7" t="n">
        <v>25000</v>
      </c>
      <c r="J145" s="7" t="n">
        <v>16750</v>
      </c>
      <c r="K145" s="7" t="n">
        <v>8250</v>
      </c>
      <c r="L145" t="inlineStr">
        <is>
          <t>Consumer</t>
        </is>
      </c>
    </row>
    <row r="146">
      <c r="A146" s="2" t="n">
        <v>45746</v>
      </c>
      <c r="B146" s="3" t="inlineStr">
        <is>
          <t>TH-0145</t>
        </is>
      </c>
      <c r="C146" s="3" t="inlineStr">
        <is>
          <t>Webcam</t>
        </is>
      </c>
      <c r="D146" s="3" t="inlineStr">
        <is>
          <t>Electronics</t>
        </is>
      </c>
      <c r="E146" s="3" t="inlineStr">
        <is>
          <t>West</t>
        </is>
      </c>
      <c r="F146" s="3" t="n">
        <v>1</v>
      </c>
      <c r="G146" s="4" t="n">
        <v>4100</v>
      </c>
      <c r="H146" s="5" t="n">
        <v>0</v>
      </c>
      <c r="I146" s="4" t="n">
        <v>4100</v>
      </c>
      <c r="J146" s="4" t="n">
        <v>2460</v>
      </c>
      <c r="K146" s="4" t="n">
        <v>1640</v>
      </c>
      <c r="L146" s="3" t="inlineStr">
        <is>
          <t>Corporate</t>
        </is>
      </c>
    </row>
    <row r="147">
      <c r="A147" s="6" t="n">
        <v>46010</v>
      </c>
      <c r="B147" t="inlineStr">
        <is>
          <t>TH-0146</t>
        </is>
      </c>
      <c r="C147" t="inlineStr">
        <is>
          <t>Notebook Pack</t>
        </is>
      </c>
      <c r="D147" t="inlineStr">
        <is>
          <t>Stationery</t>
        </is>
      </c>
      <c r="E147" t="inlineStr">
        <is>
          <t>South</t>
        </is>
      </c>
      <c r="F147" t="n">
        <v>3</v>
      </c>
      <c r="G147" s="7" t="n">
        <v>320</v>
      </c>
      <c r="H147" s="8" t="n">
        <v>0</v>
      </c>
      <c r="I147" s="7" t="n">
        <v>960</v>
      </c>
      <c r="J147" s="7" t="n">
        <v>336</v>
      </c>
      <c r="K147" s="7" t="n">
        <v>624</v>
      </c>
      <c r="L147" t="inlineStr">
        <is>
          <t>Corporate</t>
        </is>
      </c>
    </row>
    <row r="148">
      <c r="A148" s="2" t="n">
        <v>46019</v>
      </c>
      <c r="B148" s="3" t="inlineStr">
        <is>
          <t>TH-0147</t>
        </is>
      </c>
      <c r="C148" s="3" t="inlineStr">
        <is>
          <t>Office Chair</t>
        </is>
      </c>
      <c r="D148" s="3" t="inlineStr">
        <is>
          <t>Furniture</t>
        </is>
      </c>
      <c r="E148" s="3" t="inlineStr">
        <is>
          <t>North</t>
        </is>
      </c>
      <c r="F148" s="3" t="n">
        <v>4</v>
      </c>
      <c r="G148" s="4" t="n">
        <v>7800</v>
      </c>
      <c r="H148" s="5" t="n">
        <v>0.08</v>
      </c>
      <c r="I148" s="4" t="n">
        <v>28704</v>
      </c>
      <c r="J148" s="4" t="n">
        <v>16648.32</v>
      </c>
      <c r="K148" s="4" t="n">
        <v>12055.68</v>
      </c>
      <c r="L148" s="3" t="inlineStr">
        <is>
          <t>Small Business</t>
        </is>
      </c>
    </row>
    <row r="149">
      <c r="A149" s="6" t="n">
        <v>45777</v>
      </c>
      <c r="B149" t="inlineStr">
        <is>
          <t>TH-0148</t>
        </is>
      </c>
      <c r="C149" t="inlineStr">
        <is>
          <t>Office Chair</t>
        </is>
      </c>
      <c r="D149" t="inlineStr">
        <is>
          <t>Furniture</t>
        </is>
      </c>
      <c r="E149" t="inlineStr">
        <is>
          <t>South</t>
        </is>
      </c>
      <c r="F149" t="n">
        <v>5</v>
      </c>
      <c r="G149" s="7" t="n">
        <v>7800</v>
      </c>
      <c r="H149" s="8" t="n">
        <v>0.12</v>
      </c>
      <c r="I149" s="7" t="n">
        <v>34320</v>
      </c>
      <c r="J149" s="7" t="n">
        <v>19905.6</v>
      </c>
      <c r="K149" s="7" t="n">
        <v>14414.4</v>
      </c>
      <c r="L149" t="inlineStr">
        <is>
          <t>Corporate</t>
        </is>
      </c>
    </row>
    <row r="150">
      <c r="A150" s="2" t="n">
        <v>45716</v>
      </c>
      <c r="B150" s="3" t="inlineStr">
        <is>
          <t>TH-0149</t>
        </is>
      </c>
      <c r="C150" s="3" t="inlineStr">
        <is>
          <t>Webcam</t>
        </is>
      </c>
      <c r="D150" s="3" t="inlineStr">
        <is>
          <t>Electronics</t>
        </is>
      </c>
      <c r="E150" s="3" t="inlineStr">
        <is>
          <t>East</t>
        </is>
      </c>
      <c r="F150" s="3" t="n">
        <v>2</v>
      </c>
      <c r="G150" s="4" t="n">
        <v>4100</v>
      </c>
      <c r="H150" s="5" t="n">
        <v>0.02</v>
      </c>
      <c r="I150" s="4" t="n">
        <v>8036</v>
      </c>
      <c r="J150" s="4" t="n">
        <v>4821.6</v>
      </c>
      <c r="K150" s="4" t="n">
        <v>3214.4</v>
      </c>
      <c r="L150" s="3" t="inlineStr">
        <is>
          <t>Consumer</t>
        </is>
      </c>
    </row>
    <row r="151">
      <c r="A151" s="6" t="n">
        <v>45694</v>
      </c>
      <c r="B151" t="inlineStr">
        <is>
          <t>TH-0150</t>
        </is>
      </c>
      <c r="C151" t="inlineStr">
        <is>
          <t>Laptop</t>
        </is>
      </c>
      <c r="D151" t="inlineStr">
        <is>
          <t>Electronics</t>
        </is>
      </c>
      <c r="E151" t="inlineStr">
        <is>
          <t>East</t>
        </is>
      </c>
      <c r="F151" t="n">
        <v>1</v>
      </c>
      <c r="G151" s="7" t="n">
        <v>42000</v>
      </c>
      <c r="H151" s="8" t="n">
        <v>0.05</v>
      </c>
      <c r="I151" s="7" t="n">
        <v>39900</v>
      </c>
      <c r="J151" s="7" t="n">
        <v>28728</v>
      </c>
      <c r="K151" s="7" t="n">
        <v>11172</v>
      </c>
      <c r="L151" t="inlineStr">
        <is>
          <t>Corporate</t>
        </is>
      </c>
    </row>
    <row r="152">
      <c r="A152" s="2" t="n">
        <v>45721</v>
      </c>
      <c r="B152" s="3" t="inlineStr">
        <is>
          <t>TH-0151</t>
        </is>
      </c>
      <c r="C152" s="3" t="inlineStr">
        <is>
          <t>USB-C Hub</t>
        </is>
      </c>
      <c r="D152" s="3" t="inlineStr">
        <is>
          <t>Accessories</t>
        </is>
      </c>
      <c r="E152" s="3" t="inlineStr">
        <is>
          <t>West</t>
        </is>
      </c>
      <c r="F152" s="3" t="n">
        <v>4</v>
      </c>
      <c r="G152" s="4" t="n">
        <v>2400</v>
      </c>
      <c r="H152" s="5" t="n">
        <v>0.12</v>
      </c>
      <c r="I152" s="4" t="n">
        <v>8448</v>
      </c>
      <c r="J152" s="4" t="n">
        <v>3801.6</v>
      </c>
      <c r="K152" s="4" t="n">
        <v>4646.4</v>
      </c>
      <c r="L152" s="3" t="inlineStr">
        <is>
          <t>Corporate</t>
        </is>
      </c>
    </row>
    <row r="153">
      <c r="A153" s="6" t="n">
        <v>45914</v>
      </c>
      <c r="B153" t="inlineStr">
        <is>
          <t>TH-0152</t>
        </is>
      </c>
      <c r="C153" t="inlineStr">
        <is>
          <t>Webcam</t>
        </is>
      </c>
      <c r="D153" t="inlineStr">
        <is>
          <t>Electronics</t>
        </is>
      </c>
      <c r="E153" t="inlineStr">
        <is>
          <t>North</t>
        </is>
      </c>
      <c r="F153" t="n">
        <v>3</v>
      </c>
      <c r="G153" s="7" t="n">
        <v>4100</v>
      </c>
      <c r="H153" s="8" t="n">
        <v>0</v>
      </c>
      <c r="I153" s="7" t="n">
        <v>12300</v>
      </c>
      <c r="J153" s="7" t="n">
        <v>7380</v>
      </c>
      <c r="K153" s="7" t="n">
        <v>4920</v>
      </c>
      <c r="L153" t="inlineStr">
        <is>
          <t>Corporate</t>
        </is>
      </c>
    </row>
    <row r="154">
      <c r="A154" s="2" t="n">
        <v>45823</v>
      </c>
      <c r="B154" s="3" t="inlineStr">
        <is>
          <t>TH-0153</t>
        </is>
      </c>
      <c r="C154" s="3" t="inlineStr">
        <is>
          <t>Notebook Pack</t>
        </is>
      </c>
      <c r="D154" s="3" t="inlineStr">
        <is>
          <t>Stationery</t>
        </is>
      </c>
      <c r="E154" s="3" t="inlineStr">
        <is>
          <t>South</t>
        </is>
      </c>
      <c r="F154" s="3" t="n">
        <v>2</v>
      </c>
      <c r="G154" s="4" t="n">
        <v>320</v>
      </c>
      <c r="H154" s="5" t="n">
        <v>0</v>
      </c>
      <c r="I154" s="4" t="n">
        <v>640</v>
      </c>
      <c r="J154" s="4" t="n">
        <v>224</v>
      </c>
      <c r="K154" s="4" t="n">
        <v>416</v>
      </c>
      <c r="L154" s="3" t="inlineStr">
        <is>
          <t>Small Business</t>
        </is>
      </c>
    </row>
    <row r="155">
      <c r="A155" s="6" t="n">
        <v>45952</v>
      </c>
      <c r="B155" t="inlineStr">
        <is>
          <t>TH-0154</t>
        </is>
      </c>
      <c r="C155" t="inlineStr">
        <is>
          <t>Notebook Pack</t>
        </is>
      </c>
      <c r="D155" t="inlineStr">
        <is>
          <t>Stationery</t>
        </is>
      </c>
      <c r="E155" t="inlineStr">
        <is>
          <t>East</t>
        </is>
      </c>
      <c r="F155" t="n">
        <v>8</v>
      </c>
      <c r="G155" s="7" t="n">
        <v>320</v>
      </c>
      <c r="H155" s="8" t="n">
        <v>0.15</v>
      </c>
      <c r="I155" s="7" t="n">
        <v>2176</v>
      </c>
      <c r="J155" s="7" t="n">
        <v>761.6</v>
      </c>
      <c r="K155" s="7" t="n">
        <v>1414.4</v>
      </c>
      <c r="L155" t="inlineStr">
        <is>
          <t>Small Business</t>
        </is>
      </c>
    </row>
    <row r="156">
      <c r="A156" s="2" t="n">
        <v>45678</v>
      </c>
      <c r="B156" s="3" t="inlineStr">
        <is>
          <t>TH-0155</t>
        </is>
      </c>
      <c r="C156" s="3" t="inlineStr">
        <is>
          <t>Keyboard</t>
        </is>
      </c>
      <c r="D156" s="3" t="inlineStr">
        <is>
          <t>Accessories</t>
        </is>
      </c>
      <c r="E156" s="3" t="inlineStr">
        <is>
          <t>West</t>
        </is>
      </c>
      <c r="F156" s="3" t="n">
        <v>3</v>
      </c>
      <c r="G156" s="4" t="n">
        <v>1600</v>
      </c>
      <c r="H156" s="5" t="n">
        <v>0.12</v>
      </c>
      <c r="I156" s="4" t="n">
        <v>4224</v>
      </c>
      <c r="J156" s="4" t="n">
        <v>2196.48</v>
      </c>
      <c r="K156" s="4" t="n">
        <v>2027.52</v>
      </c>
      <c r="L156" s="3" t="inlineStr">
        <is>
          <t>Corporate</t>
        </is>
      </c>
    </row>
    <row r="157">
      <c r="A157" s="6" t="n">
        <v>45750</v>
      </c>
      <c r="B157" t="inlineStr">
        <is>
          <t>TH-0156</t>
        </is>
      </c>
      <c r="C157" t="inlineStr">
        <is>
          <t>Notebook Pack</t>
        </is>
      </c>
      <c r="D157" t="inlineStr">
        <is>
          <t>Stationery</t>
        </is>
      </c>
      <c r="E157" t="inlineStr">
        <is>
          <t>West</t>
        </is>
      </c>
      <c r="F157" t="n">
        <v>3</v>
      </c>
      <c r="G157" s="7" t="n">
        <v>320</v>
      </c>
      <c r="H157" s="8" t="n">
        <v>0.15</v>
      </c>
      <c r="I157" s="7" t="n">
        <v>816</v>
      </c>
      <c r="J157" s="7" t="n">
        <v>285.6</v>
      </c>
      <c r="K157" s="7" t="n">
        <v>530.4</v>
      </c>
      <c r="L157" t="inlineStr">
        <is>
          <t>Consumer</t>
        </is>
      </c>
    </row>
    <row r="158">
      <c r="A158" s="2" t="n">
        <v>45898</v>
      </c>
      <c r="B158" s="3" t="inlineStr">
        <is>
          <t>TH-0157</t>
        </is>
      </c>
      <c r="C158" s="3" t="inlineStr">
        <is>
          <t>Desk</t>
        </is>
      </c>
      <c r="D158" s="3" t="inlineStr">
        <is>
          <t>Furniture</t>
        </is>
      </c>
      <c r="E158" s="3" t="inlineStr">
        <is>
          <t>North</t>
        </is>
      </c>
      <c r="F158" s="3" t="n">
        <v>2</v>
      </c>
      <c r="G158" s="4" t="n">
        <v>9500</v>
      </c>
      <c r="H158" s="5" t="n">
        <v>0.05</v>
      </c>
      <c r="I158" s="4" t="n">
        <v>18050</v>
      </c>
      <c r="J158" s="4" t="n">
        <v>9927.5</v>
      </c>
      <c r="K158" s="4" t="n">
        <v>8122.5</v>
      </c>
      <c r="L158" s="3" t="inlineStr">
        <is>
          <t>Consumer</t>
        </is>
      </c>
    </row>
    <row r="159">
      <c r="A159" s="6" t="n">
        <v>45826</v>
      </c>
      <c r="B159" t="inlineStr">
        <is>
          <t>TH-0158</t>
        </is>
      </c>
      <c r="C159" t="inlineStr">
        <is>
          <t>Headphones</t>
        </is>
      </c>
      <c r="D159" t="inlineStr">
        <is>
          <t>Electronics</t>
        </is>
      </c>
      <c r="E159" t="inlineStr">
        <is>
          <t>West</t>
        </is>
      </c>
      <c r="F159" t="n">
        <v>4</v>
      </c>
      <c r="G159" s="7" t="n">
        <v>3200</v>
      </c>
      <c r="H159" s="8" t="n">
        <v>0.05</v>
      </c>
      <c r="I159" s="7" t="n">
        <v>12160</v>
      </c>
      <c r="J159" s="7" t="n">
        <v>7539.2</v>
      </c>
      <c r="K159" s="7" t="n">
        <v>4620.8</v>
      </c>
      <c r="L159" t="inlineStr">
        <is>
          <t>Small Business</t>
        </is>
      </c>
    </row>
    <row r="160">
      <c r="A160" s="2" t="n">
        <v>45676</v>
      </c>
      <c r="B160" s="3" t="inlineStr">
        <is>
          <t>TH-0159</t>
        </is>
      </c>
      <c r="C160" s="3" t="inlineStr">
        <is>
          <t>USB-C Hub</t>
        </is>
      </c>
      <c r="D160" s="3" t="inlineStr">
        <is>
          <t>Accessories</t>
        </is>
      </c>
      <c r="E160" s="3" t="inlineStr">
        <is>
          <t>East</t>
        </is>
      </c>
      <c r="F160" s="3" t="n">
        <v>1</v>
      </c>
      <c r="G160" s="4" t="n">
        <v>2400</v>
      </c>
      <c r="H160" s="5" t="n">
        <v>0.05</v>
      </c>
      <c r="I160" s="4" t="n">
        <v>2280</v>
      </c>
      <c r="J160" s="4" t="n">
        <v>1026</v>
      </c>
      <c r="K160" s="4" t="n">
        <v>1254</v>
      </c>
      <c r="L160" s="3" t="inlineStr">
        <is>
          <t>Consumer</t>
        </is>
      </c>
    </row>
    <row r="161">
      <c r="A161" s="6" t="n">
        <v>45864</v>
      </c>
      <c r="B161" t="inlineStr">
        <is>
          <t>TH-0160</t>
        </is>
      </c>
      <c r="C161" t="inlineStr">
        <is>
          <t>Webcam</t>
        </is>
      </c>
      <c r="D161" t="inlineStr">
        <is>
          <t>Electronics</t>
        </is>
      </c>
      <c r="E161" t="inlineStr">
        <is>
          <t>West</t>
        </is>
      </c>
      <c r="F161" t="n">
        <v>5</v>
      </c>
      <c r="G161" s="7" t="n">
        <v>4100</v>
      </c>
      <c r="H161" s="8" t="n">
        <v>0</v>
      </c>
      <c r="I161" s="7" t="n">
        <v>20500</v>
      </c>
      <c r="J161" s="7" t="n">
        <v>12300</v>
      </c>
      <c r="K161" s="7" t="n">
        <v>8200</v>
      </c>
      <c r="L161" t="inlineStr">
        <is>
          <t>Corporate</t>
        </is>
      </c>
    </row>
    <row r="162">
      <c r="A162" s="2" t="n">
        <v>45685</v>
      </c>
      <c r="B162" s="3" t="inlineStr">
        <is>
          <t>TH-0161</t>
        </is>
      </c>
      <c r="C162" s="3" t="inlineStr">
        <is>
          <t>Monitor</t>
        </is>
      </c>
      <c r="D162" s="3" t="inlineStr">
        <is>
          <t>Electronics</t>
        </is>
      </c>
      <c r="E162" s="3" t="inlineStr">
        <is>
          <t>West</t>
        </is>
      </c>
      <c r="F162" s="3" t="n">
        <v>3</v>
      </c>
      <c r="G162" s="4" t="n">
        <v>12500</v>
      </c>
      <c r="H162" s="5" t="n">
        <v>0.1</v>
      </c>
      <c r="I162" s="4" t="n">
        <v>33750</v>
      </c>
      <c r="J162" s="4" t="n">
        <v>22612.5</v>
      </c>
      <c r="K162" s="4" t="n">
        <v>11137.5</v>
      </c>
      <c r="L162" s="3" t="inlineStr">
        <is>
          <t>Small Business</t>
        </is>
      </c>
    </row>
    <row r="163">
      <c r="A163" s="6" t="n">
        <v>45884</v>
      </c>
      <c r="B163" t="inlineStr">
        <is>
          <t>TH-0162</t>
        </is>
      </c>
      <c r="C163" t="inlineStr">
        <is>
          <t>Laptop</t>
        </is>
      </c>
      <c r="D163" t="inlineStr">
        <is>
          <t>Electronics</t>
        </is>
      </c>
      <c r="E163" t="inlineStr">
        <is>
          <t>South</t>
        </is>
      </c>
      <c r="F163" t="n">
        <v>2</v>
      </c>
      <c r="G163" s="7" t="n">
        <v>42000</v>
      </c>
      <c r="H163" s="8" t="n">
        <v>0.1</v>
      </c>
      <c r="I163" s="7" t="n">
        <v>75600</v>
      </c>
      <c r="J163" s="7" t="n">
        <v>54432</v>
      </c>
      <c r="K163" s="7" t="n">
        <v>21168</v>
      </c>
      <c r="L163" t="inlineStr">
        <is>
          <t>Corporate</t>
        </is>
      </c>
    </row>
    <row r="164">
      <c r="A164" s="2" t="n">
        <v>45882</v>
      </c>
      <c r="B164" s="3" t="inlineStr">
        <is>
          <t>TH-0163</t>
        </is>
      </c>
      <c r="C164" s="3" t="inlineStr">
        <is>
          <t>Desk Lamp</t>
        </is>
      </c>
      <c r="D164" s="3" t="inlineStr">
        <is>
          <t>Furniture</t>
        </is>
      </c>
      <c r="E164" s="3" t="inlineStr">
        <is>
          <t>South</t>
        </is>
      </c>
      <c r="F164" s="3" t="n">
        <v>3</v>
      </c>
      <c r="G164" s="4" t="n">
        <v>1450</v>
      </c>
      <c r="H164" s="5" t="n">
        <v>0</v>
      </c>
      <c r="I164" s="4" t="n">
        <v>4350</v>
      </c>
      <c r="J164" s="4" t="n">
        <v>1827</v>
      </c>
      <c r="K164" s="4" t="n">
        <v>2523</v>
      </c>
      <c r="L164" s="3" t="inlineStr">
        <is>
          <t>Small Business</t>
        </is>
      </c>
    </row>
    <row r="165">
      <c r="A165" s="6" t="n">
        <v>45739</v>
      </c>
      <c r="B165" t="inlineStr">
        <is>
          <t>TH-0164</t>
        </is>
      </c>
      <c r="C165" t="inlineStr">
        <is>
          <t>Office Chair</t>
        </is>
      </c>
      <c r="D165" t="inlineStr">
        <is>
          <t>Furniture</t>
        </is>
      </c>
      <c r="E165" t="inlineStr">
        <is>
          <t>West</t>
        </is>
      </c>
      <c r="F165" t="n">
        <v>3</v>
      </c>
      <c r="G165" s="7" t="n">
        <v>7800</v>
      </c>
      <c r="H165" s="8" t="n">
        <v>0.1</v>
      </c>
      <c r="I165" s="7" t="n">
        <v>21060</v>
      </c>
      <c r="J165" s="7" t="n">
        <v>12214.8</v>
      </c>
      <c r="K165" s="7" t="n">
        <v>8845.200000000001</v>
      </c>
      <c r="L165" t="inlineStr">
        <is>
          <t>Consumer</t>
        </is>
      </c>
    </row>
    <row r="166">
      <c r="A166" s="2" t="n">
        <v>45773</v>
      </c>
      <c r="B166" s="3" t="inlineStr">
        <is>
          <t>TH-0165</t>
        </is>
      </c>
      <c r="C166" s="3" t="inlineStr">
        <is>
          <t>Wireless Mouse</t>
        </is>
      </c>
      <c r="D166" s="3" t="inlineStr">
        <is>
          <t>Accessories</t>
        </is>
      </c>
      <c r="E166" s="3" t="inlineStr">
        <is>
          <t>South</t>
        </is>
      </c>
      <c r="F166" s="3" t="n">
        <v>3</v>
      </c>
      <c r="G166" s="4" t="n">
        <v>850</v>
      </c>
      <c r="H166" s="5" t="n">
        <v>0</v>
      </c>
      <c r="I166" s="4" t="n">
        <v>2550</v>
      </c>
      <c r="J166" s="4" t="n">
        <v>1224</v>
      </c>
      <c r="K166" s="4" t="n">
        <v>1326</v>
      </c>
      <c r="L166" s="3" t="inlineStr">
        <is>
          <t>Corporate</t>
        </is>
      </c>
    </row>
    <row r="167">
      <c r="A167" s="6" t="n">
        <v>45807</v>
      </c>
      <c r="B167" t="inlineStr">
        <is>
          <t>TH-0166</t>
        </is>
      </c>
      <c r="C167" t="inlineStr">
        <is>
          <t>Webcam</t>
        </is>
      </c>
      <c r="D167" t="inlineStr">
        <is>
          <t>Electronics</t>
        </is>
      </c>
      <c r="E167" t="inlineStr">
        <is>
          <t>West</t>
        </is>
      </c>
      <c r="F167" t="n">
        <v>4</v>
      </c>
      <c r="G167" s="7" t="n">
        <v>4100</v>
      </c>
      <c r="H167" s="8" t="n">
        <v>0.08</v>
      </c>
      <c r="I167" s="7" t="n">
        <v>15088</v>
      </c>
      <c r="J167" s="7" t="n">
        <v>9052.799999999999</v>
      </c>
      <c r="K167" s="7" t="n">
        <v>6035.2</v>
      </c>
      <c r="L167" t="inlineStr">
        <is>
          <t>Corporate</t>
        </is>
      </c>
    </row>
    <row r="168">
      <c r="A168" s="2" t="n">
        <v>45782</v>
      </c>
      <c r="B168" s="3" t="inlineStr">
        <is>
          <t>TH-0167</t>
        </is>
      </c>
      <c r="C168" s="3" t="inlineStr">
        <is>
          <t>USB-C Hub</t>
        </is>
      </c>
      <c r="D168" s="3" t="inlineStr">
        <is>
          <t>Accessories</t>
        </is>
      </c>
      <c r="E168" s="3" t="inlineStr">
        <is>
          <t>South</t>
        </is>
      </c>
      <c r="F168" s="3" t="n">
        <v>3</v>
      </c>
      <c r="G168" s="4" t="n">
        <v>2400</v>
      </c>
      <c r="H168" s="5" t="n">
        <v>0.08</v>
      </c>
      <c r="I168" s="4" t="n">
        <v>6624</v>
      </c>
      <c r="J168" s="4" t="n">
        <v>2980.8</v>
      </c>
      <c r="K168" s="4" t="n">
        <v>3643.2</v>
      </c>
      <c r="L168" s="3" t="inlineStr">
        <is>
          <t>Small Business</t>
        </is>
      </c>
    </row>
    <row r="169">
      <c r="A169" s="6" t="n">
        <v>45918</v>
      </c>
      <c r="B169" t="inlineStr">
        <is>
          <t>TH-0168</t>
        </is>
      </c>
      <c r="C169" t="inlineStr">
        <is>
          <t>Desk Lamp</t>
        </is>
      </c>
      <c r="D169" t="inlineStr">
        <is>
          <t>Furniture</t>
        </is>
      </c>
      <c r="E169" t="inlineStr">
        <is>
          <t>North</t>
        </is>
      </c>
      <c r="F169" t="n">
        <v>6</v>
      </c>
      <c r="G169" s="7" t="n">
        <v>1450</v>
      </c>
      <c r="H169" s="8" t="n">
        <v>0.15</v>
      </c>
      <c r="I169" s="7" t="n">
        <v>7395</v>
      </c>
      <c r="J169" s="7" t="n">
        <v>3105.9</v>
      </c>
      <c r="K169" s="7" t="n">
        <v>4289.1</v>
      </c>
      <c r="L169" t="inlineStr">
        <is>
          <t>Corporate</t>
        </is>
      </c>
    </row>
    <row r="170">
      <c r="A170" s="2" t="n">
        <v>45870</v>
      </c>
      <c r="B170" s="3" t="inlineStr">
        <is>
          <t>TH-0169</t>
        </is>
      </c>
      <c r="C170" s="3" t="inlineStr">
        <is>
          <t>Desk</t>
        </is>
      </c>
      <c r="D170" s="3" t="inlineStr">
        <is>
          <t>Furniture</t>
        </is>
      </c>
      <c r="E170" s="3" t="inlineStr">
        <is>
          <t>East</t>
        </is>
      </c>
      <c r="F170" s="3" t="n">
        <v>8</v>
      </c>
      <c r="G170" s="4" t="n">
        <v>9500</v>
      </c>
      <c r="H170" s="5" t="n">
        <v>0.1</v>
      </c>
      <c r="I170" s="4" t="n">
        <v>68400</v>
      </c>
      <c r="J170" s="4" t="n">
        <v>37620</v>
      </c>
      <c r="K170" s="4" t="n">
        <v>30780</v>
      </c>
      <c r="L170" s="3" t="inlineStr">
        <is>
          <t>Consumer</t>
        </is>
      </c>
    </row>
    <row r="171">
      <c r="A171" s="6" t="n">
        <v>45802</v>
      </c>
      <c r="B171" t="inlineStr">
        <is>
          <t>TH-0170</t>
        </is>
      </c>
      <c r="C171" t="inlineStr">
        <is>
          <t>Desk Lamp</t>
        </is>
      </c>
      <c r="D171" t="inlineStr">
        <is>
          <t>Furniture</t>
        </is>
      </c>
      <c r="E171" t="inlineStr">
        <is>
          <t>West</t>
        </is>
      </c>
      <c r="F171" t="n">
        <v>2</v>
      </c>
      <c r="G171" s="7" t="n">
        <v>1450</v>
      </c>
      <c r="H171" s="8" t="n">
        <v>0.1</v>
      </c>
      <c r="I171" s="7" t="n">
        <v>2610</v>
      </c>
      <c r="J171" s="7" t="n">
        <v>1096.2</v>
      </c>
      <c r="K171" s="7" t="n">
        <v>1513.8</v>
      </c>
      <c r="L171" t="inlineStr">
        <is>
          <t>Consumer</t>
        </is>
      </c>
    </row>
    <row r="172">
      <c r="A172" s="2" t="n">
        <v>45886</v>
      </c>
      <c r="B172" s="3" t="inlineStr">
        <is>
          <t>TH-0171</t>
        </is>
      </c>
      <c r="C172" s="3" t="inlineStr">
        <is>
          <t>Webcam</t>
        </is>
      </c>
      <c r="D172" s="3" t="inlineStr">
        <is>
          <t>Electronics</t>
        </is>
      </c>
      <c r="E172" s="3" t="inlineStr">
        <is>
          <t>West</t>
        </is>
      </c>
      <c r="F172" s="3" t="n">
        <v>3</v>
      </c>
      <c r="G172" s="4" t="n">
        <v>4100</v>
      </c>
      <c r="H172" s="5" t="n">
        <v>0.05</v>
      </c>
      <c r="I172" s="4" t="n">
        <v>11685</v>
      </c>
      <c r="J172" s="4" t="n">
        <v>7011</v>
      </c>
      <c r="K172" s="4" t="n">
        <v>4674</v>
      </c>
      <c r="L172" s="3" t="inlineStr">
        <is>
          <t>Corporate</t>
        </is>
      </c>
    </row>
    <row r="173">
      <c r="A173" s="6" t="n">
        <v>45822</v>
      </c>
      <c r="B173" t="inlineStr">
        <is>
          <t>TH-0172</t>
        </is>
      </c>
      <c r="C173" t="inlineStr">
        <is>
          <t>Monitor</t>
        </is>
      </c>
      <c r="D173" t="inlineStr">
        <is>
          <t>Electronics</t>
        </is>
      </c>
      <c r="E173" t="inlineStr">
        <is>
          <t>West</t>
        </is>
      </c>
      <c r="F173" t="n">
        <v>10</v>
      </c>
      <c r="G173" s="7" t="n">
        <v>12500</v>
      </c>
      <c r="H173" s="8" t="n">
        <v>0.02</v>
      </c>
      <c r="I173" s="7" t="n">
        <v>122500</v>
      </c>
      <c r="J173" s="7" t="n">
        <v>82075</v>
      </c>
      <c r="K173" s="7" t="n">
        <v>40425</v>
      </c>
      <c r="L173" t="inlineStr">
        <is>
          <t>Consumer</t>
        </is>
      </c>
    </row>
    <row r="174">
      <c r="A174" s="2" t="n">
        <v>45868</v>
      </c>
      <c r="B174" s="3" t="inlineStr">
        <is>
          <t>TH-0173</t>
        </is>
      </c>
      <c r="C174" s="3" t="inlineStr">
        <is>
          <t>Laptop</t>
        </is>
      </c>
      <c r="D174" s="3" t="inlineStr">
        <is>
          <t>Electronics</t>
        </is>
      </c>
      <c r="E174" s="3" t="inlineStr">
        <is>
          <t>West</t>
        </is>
      </c>
      <c r="F174" s="3" t="n">
        <v>2</v>
      </c>
      <c r="G174" s="4" t="n">
        <v>42000</v>
      </c>
      <c r="H174" s="5" t="n">
        <v>0.08</v>
      </c>
      <c r="I174" s="4" t="n">
        <v>77280</v>
      </c>
      <c r="J174" s="4" t="n">
        <v>55641.6</v>
      </c>
      <c r="K174" s="4" t="n">
        <v>21638.4</v>
      </c>
      <c r="L174" s="3" t="inlineStr">
        <is>
          <t>Corporate</t>
        </is>
      </c>
    </row>
    <row r="175">
      <c r="A175" s="6" t="n">
        <v>45997</v>
      </c>
      <c r="B175" t="inlineStr">
        <is>
          <t>TH-0174</t>
        </is>
      </c>
      <c r="C175" t="inlineStr">
        <is>
          <t>Printer</t>
        </is>
      </c>
      <c r="D175" t="inlineStr">
        <is>
          <t>Electronics</t>
        </is>
      </c>
      <c r="E175" t="inlineStr">
        <is>
          <t>North</t>
        </is>
      </c>
      <c r="F175" t="n">
        <v>10</v>
      </c>
      <c r="G175" s="7" t="n">
        <v>9800</v>
      </c>
      <c r="H175" s="8" t="n">
        <v>0.08</v>
      </c>
      <c r="I175" s="7" t="n">
        <v>90160</v>
      </c>
      <c r="J175" s="7" t="n">
        <v>56800.8</v>
      </c>
      <c r="K175" s="7" t="n">
        <v>33359.2</v>
      </c>
      <c r="L175" t="inlineStr">
        <is>
          <t>Consumer</t>
        </is>
      </c>
    </row>
    <row r="176">
      <c r="A176" s="2" t="n">
        <v>45915</v>
      </c>
      <c r="B176" s="3" t="inlineStr">
        <is>
          <t>TH-0175</t>
        </is>
      </c>
      <c r="C176" s="3" t="inlineStr">
        <is>
          <t>Notebook Pack</t>
        </is>
      </c>
      <c r="D176" s="3" t="inlineStr">
        <is>
          <t>Stationery</t>
        </is>
      </c>
      <c r="E176" s="3" t="inlineStr">
        <is>
          <t>West</t>
        </is>
      </c>
      <c r="F176" s="3" t="n">
        <v>2</v>
      </c>
      <c r="G176" s="4" t="n">
        <v>320</v>
      </c>
      <c r="H176" s="5" t="n">
        <v>0</v>
      </c>
      <c r="I176" s="4" t="n">
        <v>640</v>
      </c>
      <c r="J176" s="4" t="n">
        <v>224</v>
      </c>
      <c r="K176" s="4" t="n">
        <v>416</v>
      </c>
      <c r="L176" s="3" t="inlineStr">
        <is>
          <t>Consumer</t>
        </is>
      </c>
    </row>
    <row r="177">
      <c r="A177" s="6" t="n">
        <v>45927</v>
      </c>
      <c r="B177" t="inlineStr">
        <is>
          <t>TH-0176</t>
        </is>
      </c>
      <c r="C177" t="inlineStr">
        <is>
          <t>USB-C Hub</t>
        </is>
      </c>
      <c r="D177" t="inlineStr">
        <is>
          <t>Accessories</t>
        </is>
      </c>
      <c r="E177" t="inlineStr">
        <is>
          <t>West</t>
        </is>
      </c>
      <c r="F177" t="n">
        <v>1</v>
      </c>
      <c r="G177" s="7" t="n">
        <v>2400</v>
      </c>
      <c r="H177" s="8" t="n">
        <v>0.02</v>
      </c>
      <c r="I177" s="7" t="n">
        <v>2352</v>
      </c>
      <c r="J177" s="7" t="n">
        <v>1058.4</v>
      </c>
      <c r="K177" s="7" t="n">
        <v>1293.6</v>
      </c>
      <c r="L177" t="inlineStr">
        <is>
          <t>Small Business</t>
        </is>
      </c>
    </row>
    <row r="178">
      <c r="A178" s="2" t="n">
        <v>45737</v>
      </c>
      <c r="B178" s="3" t="inlineStr">
        <is>
          <t>TH-0177</t>
        </is>
      </c>
      <c r="C178" s="3" t="inlineStr">
        <is>
          <t>Wireless Mouse</t>
        </is>
      </c>
      <c r="D178" s="3" t="inlineStr">
        <is>
          <t>Accessories</t>
        </is>
      </c>
      <c r="E178" s="3" t="inlineStr">
        <is>
          <t>East</t>
        </is>
      </c>
      <c r="F178" s="3" t="n">
        <v>3</v>
      </c>
      <c r="G178" s="4" t="n">
        <v>850</v>
      </c>
      <c r="H178" s="5" t="n">
        <v>0.05</v>
      </c>
      <c r="I178" s="4" t="n">
        <v>2422.5</v>
      </c>
      <c r="J178" s="4" t="n">
        <v>1162.8</v>
      </c>
      <c r="K178" s="4" t="n">
        <v>1259.7</v>
      </c>
      <c r="L178" s="3" t="inlineStr">
        <is>
          <t>Small Business</t>
        </is>
      </c>
    </row>
    <row r="179">
      <c r="A179" s="6" t="n">
        <v>46012</v>
      </c>
      <c r="B179" t="inlineStr">
        <is>
          <t>TH-0178</t>
        </is>
      </c>
      <c r="C179" t="inlineStr">
        <is>
          <t>Headphones</t>
        </is>
      </c>
      <c r="D179" t="inlineStr">
        <is>
          <t>Electronics</t>
        </is>
      </c>
      <c r="E179" t="inlineStr">
        <is>
          <t>East</t>
        </is>
      </c>
      <c r="F179" t="n">
        <v>4</v>
      </c>
      <c r="G179" s="7" t="n">
        <v>3200</v>
      </c>
      <c r="H179" s="8" t="n">
        <v>0.15</v>
      </c>
      <c r="I179" s="7" t="n">
        <v>10880</v>
      </c>
      <c r="J179" s="7" t="n">
        <v>6745.6</v>
      </c>
      <c r="K179" s="7" t="n">
        <v>4134.4</v>
      </c>
      <c r="L179" t="inlineStr">
        <is>
          <t>Small Business</t>
        </is>
      </c>
    </row>
    <row r="180">
      <c r="A180" s="2" t="n">
        <v>45931</v>
      </c>
      <c r="B180" s="3" t="inlineStr">
        <is>
          <t>TH-0179</t>
        </is>
      </c>
      <c r="C180" s="3" t="inlineStr">
        <is>
          <t>Headphones</t>
        </is>
      </c>
      <c r="D180" s="3" t="inlineStr">
        <is>
          <t>Electronics</t>
        </is>
      </c>
      <c r="E180" s="3" t="inlineStr">
        <is>
          <t>West</t>
        </is>
      </c>
      <c r="F180" s="3" t="n">
        <v>8</v>
      </c>
      <c r="G180" s="4" t="n">
        <v>3200</v>
      </c>
      <c r="H180" s="5" t="n">
        <v>0.12</v>
      </c>
      <c r="I180" s="4" t="n">
        <v>22528</v>
      </c>
      <c r="J180" s="4" t="n">
        <v>13967.36</v>
      </c>
      <c r="K180" s="4" t="n">
        <v>8560.639999999999</v>
      </c>
      <c r="L180" s="3" t="inlineStr">
        <is>
          <t>Small Business</t>
        </is>
      </c>
    </row>
    <row r="181">
      <c r="A181" s="6" t="n">
        <v>45676</v>
      </c>
      <c r="B181" t="inlineStr">
        <is>
          <t>TH-0180</t>
        </is>
      </c>
      <c r="C181" t="inlineStr">
        <is>
          <t>Notebook Pack</t>
        </is>
      </c>
      <c r="D181" t="inlineStr">
        <is>
          <t>Stationery</t>
        </is>
      </c>
      <c r="E181" t="inlineStr">
        <is>
          <t>East</t>
        </is>
      </c>
      <c r="F181" t="n">
        <v>1</v>
      </c>
      <c r="G181" s="7" t="n">
        <v>320</v>
      </c>
      <c r="H181" s="8" t="n">
        <v>0.12</v>
      </c>
      <c r="I181" s="7" t="n">
        <v>281.6</v>
      </c>
      <c r="J181" s="7" t="n">
        <v>98.56</v>
      </c>
      <c r="K181" s="7" t="n">
        <v>183.04</v>
      </c>
      <c r="L181" t="inlineStr">
        <is>
          <t>Consumer</t>
        </is>
      </c>
    </row>
    <row r="182">
      <c r="A182" s="2" t="n">
        <v>45704</v>
      </c>
      <c r="B182" s="3" t="inlineStr">
        <is>
          <t>TH-0181</t>
        </is>
      </c>
      <c r="C182" s="3" t="inlineStr">
        <is>
          <t>Headphones</t>
        </is>
      </c>
      <c r="D182" s="3" t="inlineStr">
        <is>
          <t>Electronics</t>
        </is>
      </c>
      <c r="E182" s="3" t="inlineStr">
        <is>
          <t>North</t>
        </is>
      </c>
      <c r="F182" s="3" t="n">
        <v>10</v>
      </c>
      <c r="G182" s="4" t="n">
        <v>3200</v>
      </c>
      <c r="H182" s="5" t="n">
        <v>0.15</v>
      </c>
      <c r="I182" s="4" t="n">
        <v>27200</v>
      </c>
      <c r="J182" s="4" t="n">
        <v>16864</v>
      </c>
      <c r="K182" s="4" t="n">
        <v>10336</v>
      </c>
      <c r="L182" s="3" t="inlineStr">
        <is>
          <t>Corporate</t>
        </is>
      </c>
    </row>
    <row r="183">
      <c r="A183" s="6" t="n">
        <v>45743</v>
      </c>
      <c r="B183" t="inlineStr">
        <is>
          <t>TH-0182</t>
        </is>
      </c>
      <c r="C183" t="inlineStr">
        <is>
          <t>Desk Lamp</t>
        </is>
      </c>
      <c r="D183" t="inlineStr">
        <is>
          <t>Furniture</t>
        </is>
      </c>
      <c r="E183" t="inlineStr">
        <is>
          <t>North</t>
        </is>
      </c>
      <c r="F183" t="n">
        <v>2</v>
      </c>
      <c r="G183" s="7" t="n">
        <v>1450</v>
      </c>
      <c r="H183" s="8" t="n">
        <v>0</v>
      </c>
      <c r="I183" s="7" t="n">
        <v>2900</v>
      </c>
      <c r="J183" s="7" t="n">
        <v>1218</v>
      </c>
      <c r="K183" s="7" t="n">
        <v>1682</v>
      </c>
      <c r="L183" t="inlineStr">
        <is>
          <t>Corporate</t>
        </is>
      </c>
    </row>
    <row r="184">
      <c r="A184" s="2" t="n">
        <v>45686</v>
      </c>
      <c r="B184" s="3" t="inlineStr">
        <is>
          <t>TH-0183</t>
        </is>
      </c>
      <c r="C184" s="3" t="inlineStr">
        <is>
          <t>Office Chair</t>
        </is>
      </c>
      <c r="D184" s="3" t="inlineStr">
        <is>
          <t>Furniture</t>
        </is>
      </c>
      <c r="E184" s="3" t="inlineStr">
        <is>
          <t>South</t>
        </is>
      </c>
      <c r="F184" s="3" t="n">
        <v>2</v>
      </c>
      <c r="G184" s="4" t="n">
        <v>7800</v>
      </c>
      <c r="H184" s="5" t="n">
        <v>0.08</v>
      </c>
      <c r="I184" s="4" t="n">
        <v>14352</v>
      </c>
      <c r="J184" s="4" t="n">
        <v>8324.16</v>
      </c>
      <c r="K184" s="4" t="n">
        <v>6027.84</v>
      </c>
      <c r="L184" s="3" t="inlineStr">
        <is>
          <t>Consumer</t>
        </is>
      </c>
    </row>
    <row r="185">
      <c r="A185" s="6" t="n">
        <v>45929</v>
      </c>
      <c r="B185" t="inlineStr">
        <is>
          <t>TH-0184</t>
        </is>
      </c>
      <c r="C185" t="inlineStr">
        <is>
          <t>Headphones</t>
        </is>
      </c>
      <c r="D185" t="inlineStr">
        <is>
          <t>Electronics</t>
        </is>
      </c>
      <c r="E185" t="inlineStr">
        <is>
          <t>South</t>
        </is>
      </c>
      <c r="F185" t="n">
        <v>3</v>
      </c>
      <c r="G185" s="7" t="n">
        <v>3200</v>
      </c>
      <c r="H185" s="8" t="n">
        <v>0.15</v>
      </c>
      <c r="I185" s="7" t="n">
        <v>8160</v>
      </c>
      <c r="J185" s="7" t="n">
        <v>5059.2</v>
      </c>
      <c r="K185" s="7" t="n">
        <v>3100.8</v>
      </c>
      <c r="L185" t="inlineStr">
        <is>
          <t>Consumer</t>
        </is>
      </c>
    </row>
    <row r="186">
      <c r="A186" s="2" t="n">
        <v>45747</v>
      </c>
      <c r="B186" s="3" t="inlineStr">
        <is>
          <t>TH-0185</t>
        </is>
      </c>
      <c r="C186" s="3" t="inlineStr">
        <is>
          <t>Wireless Mouse</t>
        </is>
      </c>
      <c r="D186" s="3" t="inlineStr">
        <is>
          <t>Accessories</t>
        </is>
      </c>
      <c r="E186" s="3" t="inlineStr">
        <is>
          <t>South</t>
        </is>
      </c>
      <c r="F186" s="3" t="n">
        <v>4</v>
      </c>
      <c r="G186" s="4" t="n">
        <v>850</v>
      </c>
      <c r="H186" s="5" t="n">
        <v>0.08</v>
      </c>
      <c r="I186" s="4" t="n">
        <v>3128</v>
      </c>
      <c r="J186" s="4" t="n">
        <v>1501.44</v>
      </c>
      <c r="K186" s="4" t="n">
        <v>1626.56</v>
      </c>
      <c r="L186" s="3" t="inlineStr">
        <is>
          <t>Corporate</t>
        </is>
      </c>
    </row>
    <row r="187">
      <c r="A187" s="6" t="n">
        <v>45956</v>
      </c>
      <c r="B187" t="inlineStr">
        <is>
          <t>TH-0186</t>
        </is>
      </c>
      <c r="C187" t="inlineStr">
        <is>
          <t>Keyboard</t>
        </is>
      </c>
      <c r="D187" t="inlineStr">
        <is>
          <t>Accessories</t>
        </is>
      </c>
      <c r="E187" t="inlineStr">
        <is>
          <t>East</t>
        </is>
      </c>
      <c r="F187" t="n">
        <v>2</v>
      </c>
      <c r="G187" s="7" t="n">
        <v>1600</v>
      </c>
      <c r="H187" s="8" t="n">
        <v>0.12</v>
      </c>
      <c r="I187" s="7" t="n">
        <v>2816</v>
      </c>
      <c r="J187" s="7" t="n">
        <v>1464.32</v>
      </c>
      <c r="K187" s="7" t="n">
        <v>1351.68</v>
      </c>
      <c r="L187" t="inlineStr">
        <is>
          <t>Corporate</t>
        </is>
      </c>
    </row>
    <row r="188">
      <c r="A188" s="2" t="n">
        <v>45788</v>
      </c>
      <c r="B188" s="3" t="inlineStr">
        <is>
          <t>TH-0187</t>
        </is>
      </c>
      <c r="C188" s="3" t="inlineStr">
        <is>
          <t>Printer</t>
        </is>
      </c>
      <c r="D188" s="3" t="inlineStr">
        <is>
          <t>Electronics</t>
        </is>
      </c>
      <c r="E188" s="3" t="inlineStr">
        <is>
          <t>West</t>
        </is>
      </c>
      <c r="F188" s="3" t="n">
        <v>1</v>
      </c>
      <c r="G188" s="4" t="n">
        <v>9800</v>
      </c>
      <c r="H188" s="5" t="n">
        <v>0.15</v>
      </c>
      <c r="I188" s="4" t="n">
        <v>8330</v>
      </c>
      <c r="J188" s="4" t="n">
        <v>5247.9</v>
      </c>
      <c r="K188" s="4" t="n">
        <v>3082.1</v>
      </c>
      <c r="L188" s="3" t="inlineStr">
        <is>
          <t>Corporate</t>
        </is>
      </c>
    </row>
    <row r="189">
      <c r="A189" s="6" t="n">
        <v>46004</v>
      </c>
      <c r="B189" t="inlineStr">
        <is>
          <t>TH-0188</t>
        </is>
      </c>
      <c r="C189" t="inlineStr">
        <is>
          <t>Webcam</t>
        </is>
      </c>
      <c r="D189" t="inlineStr">
        <is>
          <t>Electronics</t>
        </is>
      </c>
      <c r="E189" t="inlineStr">
        <is>
          <t>East</t>
        </is>
      </c>
      <c r="F189" t="n">
        <v>1</v>
      </c>
      <c r="G189" s="7" t="n">
        <v>4100</v>
      </c>
      <c r="H189" s="8" t="n">
        <v>0.08</v>
      </c>
      <c r="I189" s="7" t="n">
        <v>3772</v>
      </c>
      <c r="J189" s="7" t="n">
        <v>2263.2</v>
      </c>
      <c r="K189" s="7" t="n">
        <v>1508.8</v>
      </c>
      <c r="L189" t="inlineStr">
        <is>
          <t>Small Business</t>
        </is>
      </c>
    </row>
    <row r="190">
      <c r="A190" s="2" t="n">
        <v>45811</v>
      </c>
      <c r="B190" s="3" t="inlineStr">
        <is>
          <t>TH-0189</t>
        </is>
      </c>
      <c r="C190" s="3" t="inlineStr">
        <is>
          <t>Printer</t>
        </is>
      </c>
      <c r="D190" s="3" t="inlineStr">
        <is>
          <t>Electronics</t>
        </is>
      </c>
      <c r="E190" s="3" t="inlineStr">
        <is>
          <t>East</t>
        </is>
      </c>
      <c r="F190" s="3" t="n">
        <v>10</v>
      </c>
      <c r="G190" s="4" t="n">
        <v>9800</v>
      </c>
      <c r="H190" s="5" t="n">
        <v>0.12</v>
      </c>
      <c r="I190" s="4" t="n">
        <v>86240</v>
      </c>
      <c r="J190" s="4" t="n">
        <v>54331.2</v>
      </c>
      <c r="K190" s="4" t="n">
        <v>31908.8</v>
      </c>
      <c r="L190" s="3" t="inlineStr">
        <is>
          <t>Corporate</t>
        </is>
      </c>
    </row>
    <row r="191">
      <c r="A191" s="6" t="n">
        <v>45812</v>
      </c>
      <c r="B191" t="inlineStr">
        <is>
          <t>TH-0190</t>
        </is>
      </c>
      <c r="C191" t="inlineStr">
        <is>
          <t>Monitor</t>
        </is>
      </c>
      <c r="D191" t="inlineStr">
        <is>
          <t>Electronics</t>
        </is>
      </c>
      <c r="E191" t="inlineStr">
        <is>
          <t>West</t>
        </is>
      </c>
      <c r="F191" t="n">
        <v>10</v>
      </c>
      <c r="G191" s="7" t="n">
        <v>12500</v>
      </c>
      <c r="H191" s="8" t="n">
        <v>0.15</v>
      </c>
      <c r="I191" s="7" t="n">
        <v>106250</v>
      </c>
      <c r="J191" s="7" t="n">
        <v>71187.5</v>
      </c>
      <c r="K191" s="7" t="n">
        <v>35062.5</v>
      </c>
      <c r="L191" t="inlineStr">
        <is>
          <t>Consumer</t>
        </is>
      </c>
    </row>
    <row r="192">
      <c r="A192" s="2" t="n">
        <v>45779</v>
      </c>
      <c r="B192" s="3" t="inlineStr">
        <is>
          <t>TH-0191</t>
        </is>
      </c>
      <c r="C192" s="3" t="inlineStr">
        <is>
          <t>Headphones</t>
        </is>
      </c>
      <c r="D192" s="3" t="inlineStr">
        <is>
          <t>Electronics</t>
        </is>
      </c>
      <c r="E192" s="3" t="inlineStr">
        <is>
          <t>East</t>
        </is>
      </c>
      <c r="F192" s="3" t="n">
        <v>3</v>
      </c>
      <c r="G192" s="4" t="n">
        <v>3200</v>
      </c>
      <c r="H192" s="5" t="n">
        <v>0.1</v>
      </c>
      <c r="I192" s="4" t="n">
        <v>8640</v>
      </c>
      <c r="J192" s="4" t="n">
        <v>5356.8</v>
      </c>
      <c r="K192" s="4" t="n">
        <v>3283.2</v>
      </c>
      <c r="L192" s="3" t="inlineStr">
        <is>
          <t>Small Business</t>
        </is>
      </c>
    </row>
    <row r="193">
      <c r="A193" s="6" t="n">
        <v>45809</v>
      </c>
      <c r="B193" t="inlineStr">
        <is>
          <t>TH-0192</t>
        </is>
      </c>
      <c r="C193" t="inlineStr">
        <is>
          <t>Laptop</t>
        </is>
      </c>
      <c r="D193" t="inlineStr">
        <is>
          <t>Electronics</t>
        </is>
      </c>
      <c r="E193" t="inlineStr">
        <is>
          <t>West</t>
        </is>
      </c>
      <c r="F193" t="n">
        <v>10</v>
      </c>
      <c r="G193" s="7" t="n">
        <v>42000</v>
      </c>
      <c r="H193" s="8" t="n">
        <v>0.12</v>
      </c>
      <c r="I193" s="7" t="n">
        <v>369600</v>
      </c>
      <c r="J193" s="7" t="n">
        <v>266112</v>
      </c>
      <c r="K193" s="7" t="n">
        <v>103488</v>
      </c>
      <c r="L193" t="inlineStr">
        <is>
          <t>Corporate</t>
        </is>
      </c>
    </row>
    <row r="194">
      <c r="A194" s="2" t="n">
        <v>45662</v>
      </c>
      <c r="B194" s="3" t="inlineStr">
        <is>
          <t>TH-0193</t>
        </is>
      </c>
      <c r="C194" s="3" t="inlineStr">
        <is>
          <t>Notebook Pack</t>
        </is>
      </c>
      <c r="D194" s="3" t="inlineStr">
        <is>
          <t>Stationery</t>
        </is>
      </c>
      <c r="E194" s="3" t="inlineStr">
        <is>
          <t>North</t>
        </is>
      </c>
      <c r="F194" s="3" t="n">
        <v>6</v>
      </c>
      <c r="G194" s="4" t="n">
        <v>320</v>
      </c>
      <c r="H194" s="5" t="n">
        <v>0.15</v>
      </c>
      <c r="I194" s="4" t="n">
        <v>1632</v>
      </c>
      <c r="J194" s="4" t="n">
        <v>571.2</v>
      </c>
      <c r="K194" s="4" t="n">
        <v>1060.8</v>
      </c>
      <c r="L194" s="3" t="inlineStr">
        <is>
          <t>Small Business</t>
        </is>
      </c>
    </row>
    <row r="195">
      <c r="A195" s="6" t="n">
        <v>45912</v>
      </c>
      <c r="B195" t="inlineStr">
        <is>
          <t>TH-0194</t>
        </is>
      </c>
      <c r="C195" t="inlineStr">
        <is>
          <t>Office Chair</t>
        </is>
      </c>
      <c r="D195" t="inlineStr">
        <is>
          <t>Furniture</t>
        </is>
      </c>
      <c r="E195" t="inlineStr">
        <is>
          <t>East</t>
        </is>
      </c>
      <c r="F195" t="n">
        <v>5</v>
      </c>
      <c r="G195" s="7" t="n">
        <v>7800</v>
      </c>
      <c r="H195" s="8" t="n">
        <v>0.02</v>
      </c>
      <c r="I195" s="7" t="n">
        <v>38220</v>
      </c>
      <c r="J195" s="7" t="n">
        <v>22167.6</v>
      </c>
      <c r="K195" s="7" t="n">
        <v>16052.4</v>
      </c>
      <c r="L195" t="inlineStr">
        <is>
          <t>Consumer</t>
        </is>
      </c>
    </row>
    <row r="196">
      <c r="A196" s="2" t="n">
        <v>45983</v>
      </c>
      <c r="B196" s="3" t="inlineStr">
        <is>
          <t>TH-0195</t>
        </is>
      </c>
      <c r="C196" s="3" t="inlineStr">
        <is>
          <t>Monitor</t>
        </is>
      </c>
      <c r="D196" s="3" t="inlineStr">
        <is>
          <t>Electronics</t>
        </is>
      </c>
      <c r="E196" s="3" t="inlineStr">
        <is>
          <t>South</t>
        </is>
      </c>
      <c r="F196" s="3" t="n">
        <v>4</v>
      </c>
      <c r="G196" s="4" t="n">
        <v>12500</v>
      </c>
      <c r="H196" s="5" t="n">
        <v>0.12</v>
      </c>
      <c r="I196" s="4" t="n">
        <v>44000</v>
      </c>
      <c r="J196" s="4" t="n">
        <v>29480</v>
      </c>
      <c r="K196" s="4" t="n">
        <v>14520</v>
      </c>
      <c r="L196" s="3" t="inlineStr">
        <is>
          <t>Small Business</t>
        </is>
      </c>
    </row>
    <row r="197">
      <c r="A197" s="6" t="n">
        <v>45707</v>
      </c>
      <c r="B197" t="inlineStr">
        <is>
          <t>TH-0196</t>
        </is>
      </c>
      <c r="C197" t="inlineStr">
        <is>
          <t>Printer</t>
        </is>
      </c>
      <c r="D197" t="inlineStr">
        <is>
          <t>Electronics</t>
        </is>
      </c>
      <c r="E197" t="inlineStr">
        <is>
          <t>West</t>
        </is>
      </c>
      <c r="F197" t="n">
        <v>4</v>
      </c>
      <c r="G197" s="7" t="n">
        <v>9800</v>
      </c>
      <c r="H197" s="8" t="n">
        <v>0.05</v>
      </c>
      <c r="I197" s="7" t="n">
        <v>37240</v>
      </c>
      <c r="J197" s="7" t="n">
        <v>23461.2</v>
      </c>
      <c r="K197" s="7" t="n">
        <v>13778.8</v>
      </c>
      <c r="L197" t="inlineStr">
        <is>
          <t>Consumer</t>
        </is>
      </c>
    </row>
    <row r="198">
      <c r="A198" s="2" t="n">
        <v>45954</v>
      </c>
      <c r="B198" s="3" t="inlineStr">
        <is>
          <t>TH-0197</t>
        </is>
      </c>
      <c r="C198" s="3" t="inlineStr">
        <is>
          <t>Desk</t>
        </is>
      </c>
      <c r="D198" s="3" t="inlineStr">
        <is>
          <t>Furniture</t>
        </is>
      </c>
      <c r="E198" s="3" t="inlineStr">
        <is>
          <t>East</t>
        </is>
      </c>
      <c r="F198" s="3" t="n">
        <v>4</v>
      </c>
      <c r="G198" s="4" t="n">
        <v>9500</v>
      </c>
      <c r="H198" s="5" t="n">
        <v>0</v>
      </c>
      <c r="I198" s="4" t="n">
        <v>38000</v>
      </c>
      <c r="J198" s="4" t="n">
        <v>20900</v>
      </c>
      <c r="K198" s="4" t="n">
        <v>17100</v>
      </c>
      <c r="L198" s="3" t="inlineStr">
        <is>
          <t>Corporate</t>
        </is>
      </c>
    </row>
    <row r="199">
      <c r="A199" s="6" t="n">
        <v>45870</v>
      </c>
      <c r="B199" t="inlineStr">
        <is>
          <t>TH-0198</t>
        </is>
      </c>
      <c r="C199" t="inlineStr">
        <is>
          <t>Keyboard</t>
        </is>
      </c>
      <c r="D199" t="inlineStr">
        <is>
          <t>Accessories</t>
        </is>
      </c>
      <c r="E199" t="inlineStr">
        <is>
          <t>East</t>
        </is>
      </c>
      <c r="F199" t="n">
        <v>2</v>
      </c>
      <c r="G199" s="7" t="n">
        <v>1600</v>
      </c>
      <c r="H199" s="8" t="n">
        <v>0.15</v>
      </c>
      <c r="I199" s="7" t="n">
        <v>2720</v>
      </c>
      <c r="J199" s="7" t="n">
        <v>1414.4</v>
      </c>
      <c r="K199" s="7" t="n">
        <v>1305.6</v>
      </c>
      <c r="L199" t="inlineStr">
        <is>
          <t>Small Business</t>
        </is>
      </c>
    </row>
    <row r="200">
      <c r="A200" s="2" t="n">
        <v>45914</v>
      </c>
      <c r="B200" s="3" t="inlineStr">
        <is>
          <t>TH-0199</t>
        </is>
      </c>
      <c r="C200" s="3" t="inlineStr">
        <is>
          <t>Office Chair</t>
        </is>
      </c>
      <c r="D200" s="3" t="inlineStr">
        <is>
          <t>Furniture</t>
        </is>
      </c>
      <c r="E200" s="3" t="inlineStr">
        <is>
          <t>West</t>
        </is>
      </c>
      <c r="F200" s="3" t="n">
        <v>5</v>
      </c>
      <c r="G200" s="4" t="n">
        <v>7800</v>
      </c>
      <c r="H200" s="5" t="n">
        <v>0.05</v>
      </c>
      <c r="I200" s="4" t="n">
        <v>37050</v>
      </c>
      <c r="J200" s="4" t="n">
        <v>21489</v>
      </c>
      <c r="K200" s="4" t="n">
        <v>15561</v>
      </c>
      <c r="L200" s="3" t="inlineStr">
        <is>
          <t>Corporate</t>
        </is>
      </c>
    </row>
    <row r="201">
      <c r="A201" s="6" t="n">
        <v>45831</v>
      </c>
      <c r="B201" t="inlineStr">
        <is>
          <t>TH-0200</t>
        </is>
      </c>
      <c r="C201" t="inlineStr">
        <is>
          <t>Wireless Mouse</t>
        </is>
      </c>
      <c r="D201" t="inlineStr">
        <is>
          <t>Accessories</t>
        </is>
      </c>
      <c r="E201" t="inlineStr">
        <is>
          <t>South</t>
        </is>
      </c>
      <c r="F201" t="n">
        <v>3</v>
      </c>
      <c r="G201" s="7" t="n">
        <v>850</v>
      </c>
      <c r="H201" s="8" t="n">
        <v>0</v>
      </c>
      <c r="I201" s="7" t="n">
        <v>2550</v>
      </c>
      <c r="J201" s="7" t="n">
        <v>1224</v>
      </c>
      <c r="K201" s="7" t="n">
        <v>1326</v>
      </c>
      <c r="L201" t="inlineStr">
        <is>
          <t>Consumer</t>
        </is>
      </c>
    </row>
    <row r="202">
      <c r="A202" s="2" t="n">
        <v>46004</v>
      </c>
      <c r="B202" s="3" t="inlineStr">
        <is>
          <t>TH-0201</t>
        </is>
      </c>
      <c r="C202" s="3" t="inlineStr">
        <is>
          <t>Desk Lamp</t>
        </is>
      </c>
      <c r="D202" s="3" t="inlineStr">
        <is>
          <t>Furniture</t>
        </is>
      </c>
      <c r="E202" s="3" t="inlineStr">
        <is>
          <t>East</t>
        </is>
      </c>
      <c r="F202" s="3" t="n">
        <v>4</v>
      </c>
      <c r="G202" s="4" t="n">
        <v>1450</v>
      </c>
      <c r="H202" s="5" t="n">
        <v>0.08</v>
      </c>
      <c r="I202" s="4" t="n">
        <v>5336</v>
      </c>
      <c r="J202" s="4" t="n">
        <v>2241.12</v>
      </c>
      <c r="K202" s="4" t="n">
        <v>3094.88</v>
      </c>
      <c r="L202" s="3" t="inlineStr">
        <is>
          <t>Consumer</t>
        </is>
      </c>
    </row>
    <row r="203">
      <c r="A203" s="6" t="n">
        <v>45860</v>
      </c>
      <c r="B203" t="inlineStr">
        <is>
          <t>TH-0202</t>
        </is>
      </c>
      <c r="C203" t="inlineStr">
        <is>
          <t>Laptop</t>
        </is>
      </c>
      <c r="D203" t="inlineStr">
        <is>
          <t>Electronics</t>
        </is>
      </c>
      <c r="E203" t="inlineStr">
        <is>
          <t>West</t>
        </is>
      </c>
      <c r="F203" t="n">
        <v>2</v>
      </c>
      <c r="G203" s="7" t="n">
        <v>42000</v>
      </c>
      <c r="H203" s="8" t="n">
        <v>0</v>
      </c>
      <c r="I203" s="7" t="n">
        <v>84000</v>
      </c>
      <c r="J203" s="7" t="n">
        <v>60480</v>
      </c>
      <c r="K203" s="7" t="n">
        <v>23520</v>
      </c>
      <c r="L203" t="inlineStr">
        <is>
          <t>Corporate</t>
        </is>
      </c>
    </row>
    <row r="204">
      <c r="A204" s="2" t="n">
        <v>46002</v>
      </c>
      <c r="B204" s="3" t="inlineStr">
        <is>
          <t>TH-0203</t>
        </is>
      </c>
      <c r="C204" s="3" t="inlineStr">
        <is>
          <t>Desk Lamp</t>
        </is>
      </c>
      <c r="D204" s="3" t="inlineStr">
        <is>
          <t>Furniture</t>
        </is>
      </c>
      <c r="E204" s="3" t="inlineStr">
        <is>
          <t>West</t>
        </is>
      </c>
      <c r="F204" s="3" t="n">
        <v>4</v>
      </c>
      <c r="G204" s="4" t="n">
        <v>1450</v>
      </c>
      <c r="H204" s="5" t="n">
        <v>0.1</v>
      </c>
      <c r="I204" s="4" t="n">
        <v>5220</v>
      </c>
      <c r="J204" s="4" t="n">
        <v>2192.4</v>
      </c>
      <c r="K204" s="4" t="n">
        <v>3027.6</v>
      </c>
      <c r="L204" s="3" t="inlineStr">
        <is>
          <t>Small Business</t>
        </is>
      </c>
    </row>
    <row r="205">
      <c r="A205" s="6" t="n">
        <v>45848</v>
      </c>
      <c r="B205" t="inlineStr">
        <is>
          <t>TH-0204</t>
        </is>
      </c>
      <c r="C205" t="inlineStr">
        <is>
          <t>Wireless Mouse</t>
        </is>
      </c>
      <c r="D205" t="inlineStr">
        <is>
          <t>Accessories</t>
        </is>
      </c>
      <c r="E205" t="inlineStr">
        <is>
          <t>North</t>
        </is>
      </c>
      <c r="F205" t="n">
        <v>4</v>
      </c>
      <c r="G205" s="7" t="n">
        <v>850</v>
      </c>
      <c r="H205" s="8" t="n">
        <v>0.08</v>
      </c>
      <c r="I205" s="7" t="n">
        <v>3128</v>
      </c>
      <c r="J205" s="7" t="n">
        <v>1501.44</v>
      </c>
      <c r="K205" s="7" t="n">
        <v>1626.56</v>
      </c>
      <c r="L205" t="inlineStr">
        <is>
          <t>Small Business</t>
        </is>
      </c>
    </row>
    <row r="206">
      <c r="A206" s="2" t="n">
        <v>45945</v>
      </c>
      <c r="B206" s="3" t="inlineStr">
        <is>
          <t>TH-0205</t>
        </is>
      </c>
      <c r="C206" s="3" t="inlineStr">
        <is>
          <t>Desk</t>
        </is>
      </c>
      <c r="D206" s="3" t="inlineStr">
        <is>
          <t>Furniture</t>
        </is>
      </c>
      <c r="E206" s="3" t="inlineStr">
        <is>
          <t>North</t>
        </is>
      </c>
      <c r="F206" s="3" t="n">
        <v>8</v>
      </c>
      <c r="G206" s="4" t="n">
        <v>9500</v>
      </c>
      <c r="H206" s="5" t="n">
        <v>0.02</v>
      </c>
      <c r="I206" s="4" t="n">
        <v>74480</v>
      </c>
      <c r="J206" s="4" t="n">
        <v>40964</v>
      </c>
      <c r="K206" s="4" t="n">
        <v>33516</v>
      </c>
      <c r="L206" s="3" t="inlineStr">
        <is>
          <t>Small Business</t>
        </is>
      </c>
    </row>
    <row r="207">
      <c r="A207" s="6" t="n">
        <v>45895</v>
      </c>
      <c r="B207" t="inlineStr">
        <is>
          <t>TH-0206</t>
        </is>
      </c>
      <c r="C207" t="inlineStr">
        <is>
          <t>Desk Lamp</t>
        </is>
      </c>
      <c r="D207" t="inlineStr">
        <is>
          <t>Furniture</t>
        </is>
      </c>
      <c r="E207" t="inlineStr">
        <is>
          <t>North</t>
        </is>
      </c>
      <c r="F207" t="n">
        <v>2</v>
      </c>
      <c r="G207" s="7" t="n">
        <v>1450</v>
      </c>
      <c r="H207" s="8" t="n">
        <v>0.08</v>
      </c>
      <c r="I207" s="7" t="n">
        <v>2668</v>
      </c>
      <c r="J207" s="7" t="n">
        <v>1120.56</v>
      </c>
      <c r="K207" s="7" t="n">
        <v>1547.44</v>
      </c>
      <c r="L207" t="inlineStr">
        <is>
          <t>Consumer</t>
        </is>
      </c>
    </row>
    <row r="208">
      <c r="A208" s="2" t="n">
        <v>45681</v>
      </c>
      <c r="B208" s="3" t="inlineStr">
        <is>
          <t>TH-0207</t>
        </is>
      </c>
      <c r="C208" s="3" t="inlineStr">
        <is>
          <t>Laptop</t>
        </is>
      </c>
      <c r="D208" s="3" t="inlineStr">
        <is>
          <t>Electronics</t>
        </is>
      </c>
      <c r="E208" s="3" t="inlineStr">
        <is>
          <t>North</t>
        </is>
      </c>
      <c r="F208" s="3" t="n">
        <v>2</v>
      </c>
      <c r="G208" s="4" t="n">
        <v>42000</v>
      </c>
      <c r="H208" s="5" t="n">
        <v>0.08</v>
      </c>
      <c r="I208" s="4" t="n">
        <v>77280</v>
      </c>
      <c r="J208" s="4" t="n">
        <v>55641.6</v>
      </c>
      <c r="K208" s="4" t="n">
        <v>21638.4</v>
      </c>
      <c r="L208" s="3" t="inlineStr">
        <is>
          <t>Consumer</t>
        </is>
      </c>
    </row>
    <row r="209">
      <c r="A209" s="6" t="n">
        <v>45778</v>
      </c>
      <c r="B209" t="inlineStr">
        <is>
          <t>TH-0208</t>
        </is>
      </c>
      <c r="C209" t="inlineStr">
        <is>
          <t>Webcam</t>
        </is>
      </c>
      <c r="D209" t="inlineStr">
        <is>
          <t>Electronics</t>
        </is>
      </c>
      <c r="E209" t="inlineStr">
        <is>
          <t>East</t>
        </is>
      </c>
      <c r="F209" t="n">
        <v>1</v>
      </c>
      <c r="G209" s="7" t="n">
        <v>4100</v>
      </c>
      <c r="H209" s="8" t="n">
        <v>0.08</v>
      </c>
      <c r="I209" s="7" t="n">
        <v>3772</v>
      </c>
      <c r="J209" s="7" t="n">
        <v>2263.2</v>
      </c>
      <c r="K209" s="7" t="n">
        <v>1508.8</v>
      </c>
      <c r="L209" t="inlineStr">
        <is>
          <t>Small Business</t>
        </is>
      </c>
    </row>
    <row r="210">
      <c r="A210" s="2" t="n">
        <v>46014</v>
      </c>
      <c r="B210" s="3" t="inlineStr">
        <is>
          <t>TH-0209</t>
        </is>
      </c>
      <c r="C210" s="3" t="inlineStr">
        <is>
          <t>Webcam</t>
        </is>
      </c>
      <c r="D210" s="3" t="inlineStr">
        <is>
          <t>Electronics</t>
        </is>
      </c>
      <c r="E210" s="3" t="inlineStr">
        <is>
          <t>South</t>
        </is>
      </c>
      <c r="F210" s="3" t="n">
        <v>2</v>
      </c>
      <c r="G210" s="4" t="n">
        <v>4100</v>
      </c>
      <c r="H210" s="5" t="n">
        <v>0.12</v>
      </c>
      <c r="I210" s="4" t="n">
        <v>7216</v>
      </c>
      <c r="J210" s="4" t="n">
        <v>4329.6</v>
      </c>
      <c r="K210" s="4" t="n">
        <v>2886.4</v>
      </c>
      <c r="L210" s="3" t="inlineStr">
        <is>
          <t>Corporate</t>
        </is>
      </c>
    </row>
    <row r="211">
      <c r="A211" s="6" t="n">
        <v>45993</v>
      </c>
      <c r="B211" t="inlineStr">
        <is>
          <t>TH-0210</t>
        </is>
      </c>
      <c r="C211" t="inlineStr">
        <is>
          <t>Wireless Mouse</t>
        </is>
      </c>
      <c r="D211" t="inlineStr">
        <is>
          <t>Accessories</t>
        </is>
      </c>
      <c r="E211" t="inlineStr">
        <is>
          <t>West</t>
        </is>
      </c>
      <c r="F211" t="n">
        <v>5</v>
      </c>
      <c r="G211" s="7" t="n">
        <v>850</v>
      </c>
      <c r="H211" s="8" t="n">
        <v>0.1</v>
      </c>
      <c r="I211" s="7" t="n">
        <v>3825</v>
      </c>
      <c r="J211" s="7" t="n">
        <v>1836</v>
      </c>
      <c r="K211" s="7" t="n">
        <v>1989</v>
      </c>
      <c r="L211" t="inlineStr">
        <is>
          <t>Corporate</t>
        </is>
      </c>
    </row>
    <row r="212">
      <c r="A212" s="2" t="n">
        <v>45674</v>
      </c>
      <c r="B212" s="3" t="inlineStr">
        <is>
          <t>TH-0211</t>
        </is>
      </c>
      <c r="C212" s="3" t="inlineStr">
        <is>
          <t>Desk Lamp</t>
        </is>
      </c>
      <c r="D212" s="3" t="inlineStr">
        <is>
          <t>Furniture</t>
        </is>
      </c>
      <c r="E212" s="3" t="inlineStr">
        <is>
          <t>West</t>
        </is>
      </c>
      <c r="F212" s="3" t="n">
        <v>2</v>
      </c>
      <c r="G212" s="4" t="n">
        <v>1450</v>
      </c>
      <c r="H212" s="5" t="n">
        <v>0.08</v>
      </c>
      <c r="I212" s="4" t="n">
        <v>2668</v>
      </c>
      <c r="J212" s="4" t="n">
        <v>1120.56</v>
      </c>
      <c r="K212" s="4" t="n">
        <v>1547.44</v>
      </c>
      <c r="L212" s="3" t="inlineStr">
        <is>
          <t>Consumer</t>
        </is>
      </c>
    </row>
    <row r="213">
      <c r="A213" s="6" t="n">
        <v>45843</v>
      </c>
      <c r="B213" t="inlineStr">
        <is>
          <t>TH-0212</t>
        </is>
      </c>
      <c r="C213" t="inlineStr">
        <is>
          <t>Wireless Mouse</t>
        </is>
      </c>
      <c r="D213" t="inlineStr">
        <is>
          <t>Accessories</t>
        </is>
      </c>
      <c r="E213" t="inlineStr">
        <is>
          <t>East</t>
        </is>
      </c>
      <c r="F213" t="n">
        <v>10</v>
      </c>
      <c r="G213" s="7" t="n">
        <v>850</v>
      </c>
      <c r="H213" s="8" t="n">
        <v>0.05</v>
      </c>
      <c r="I213" s="7" t="n">
        <v>8075</v>
      </c>
      <c r="J213" s="7" t="n">
        <v>3876</v>
      </c>
      <c r="K213" s="7" t="n">
        <v>4199</v>
      </c>
      <c r="L213" t="inlineStr">
        <is>
          <t>Consumer</t>
        </is>
      </c>
    </row>
    <row r="214">
      <c r="A214" s="2" t="n">
        <v>45861</v>
      </c>
      <c r="B214" s="3" t="inlineStr">
        <is>
          <t>TH-0213</t>
        </is>
      </c>
      <c r="C214" s="3" t="inlineStr">
        <is>
          <t>Office Chair</t>
        </is>
      </c>
      <c r="D214" s="3" t="inlineStr">
        <is>
          <t>Furniture</t>
        </is>
      </c>
      <c r="E214" s="3" t="inlineStr">
        <is>
          <t>West</t>
        </is>
      </c>
      <c r="F214" s="3" t="n">
        <v>1</v>
      </c>
      <c r="G214" s="4" t="n">
        <v>7800</v>
      </c>
      <c r="H214" s="5" t="n">
        <v>0</v>
      </c>
      <c r="I214" s="4" t="n">
        <v>7800</v>
      </c>
      <c r="J214" s="4" t="n">
        <v>4524</v>
      </c>
      <c r="K214" s="4" t="n">
        <v>3276</v>
      </c>
      <c r="L214" s="3" t="inlineStr">
        <is>
          <t>Consumer</t>
        </is>
      </c>
    </row>
    <row r="215">
      <c r="A215" s="6" t="n">
        <v>45997</v>
      </c>
      <c r="B215" t="inlineStr">
        <is>
          <t>TH-0214</t>
        </is>
      </c>
      <c r="C215" t="inlineStr">
        <is>
          <t>Monitor</t>
        </is>
      </c>
      <c r="D215" t="inlineStr">
        <is>
          <t>Electronics</t>
        </is>
      </c>
      <c r="E215" t="inlineStr">
        <is>
          <t>North</t>
        </is>
      </c>
      <c r="F215" t="n">
        <v>4</v>
      </c>
      <c r="G215" s="7" t="n">
        <v>12500</v>
      </c>
      <c r="H215" s="8" t="n">
        <v>0.1</v>
      </c>
      <c r="I215" s="7" t="n">
        <v>45000</v>
      </c>
      <c r="J215" s="7" t="n">
        <v>30150</v>
      </c>
      <c r="K215" s="7" t="n">
        <v>14850</v>
      </c>
      <c r="L215" t="inlineStr">
        <is>
          <t>Consumer</t>
        </is>
      </c>
    </row>
    <row r="216">
      <c r="A216" s="2" t="n">
        <v>45828</v>
      </c>
      <c r="B216" s="3" t="inlineStr">
        <is>
          <t>TH-0215</t>
        </is>
      </c>
      <c r="C216" s="3" t="inlineStr">
        <is>
          <t>Monitor</t>
        </is>
      </c>
      <c r="D216" s="3" t="inlineStr">
        <is>
          <t>Electronics</t>
        </is>
      </c>
      <c r="E216" s="3" t="inlineStr">
        <is>
          <t>South</t>
        </is>
      </c>
      <c r="F216" s="3" t="n">
        <v>10</v>
      </c>
      <c r="G216" s="4" t="n">
        <v>12500</v>
      </c>
      <c r="H216" s="5" t="n">
        <v>0.15</v>
      </c>
      <c r="I216" s="4" t="n">
        <v>106250</v>
      </c>
      <c r="J216" s="4" t="n">
        <v>71187.5</v>
      </c>
      <c r="K216" s="4" t="n">
        <v>35062.5</v>
      </c>
      <c r="L216" s="3" t="inlineStr">
        <is>
          <t>Consumer</t>
        </is>
      </c>
    </row>
    <row r="217">
      <c r="A217" s="6" t="n">
        <v>45941</v>
      </c>
      <c r="B217" t="inlineStr">
        <is>
          <t>TH-0216</t>
        </is>
      </c>
      <c r="C217" t="inlineStr">
        <is>
          <t>Monitor</t>
        </is>
      </c>
      <c r="D217" t="inlineStr">
        <is>
          <t>Electronics</t>
        </is>
      </c>
      <c r="E217" t="inlineStr">
        <is>
          <t>South</t>
        </is>
      </c>
      <c r="F217" t="n">
        <v>3</v>
      </c>
      <c r="G217" s="7" t="n">
        <v>12500</v>
      </c>
      <c r="H217" s="8" t="n">
        <v>0.15</v>
      </c>
      <c r="I217" s="7" t="n">
        <v>31875</v>
      </c>
      <c r="J217" s="7" t="n">
        <v>21356.25</v>
      </c>
      <c r="K217" s="7" t="n">
        <v>10518.75</v>
      </c>
      <c r="L217" t="inlineStr">
        <is>
          <t>Corporate</t>
        </is>
      </c>
    </row>
    <row r="218">
      <c r="A218" s="2" t="n">
        <v>45733</v>
      </c>
      <c r="B218" s="3" t="inlineStr">
        <is>
          <t>TH-0217</t>
        </is>
      </c>
      <c r="C218" s="3" t="inlineStr">
        <is>
          <t>Notebook Pack</t>
        </is>
      </c>
      <c r="D218" s="3" t="inlineStr">
        <is>
          <t>Stationery</t>
        </is>
      </c>
      <c r="E218" s="3" t="inlineStr">
        <is>
          <t>South</t>
        </is>
      </c>
      <c r="F218" s="3" t="n">
        <v>1</v>
      </c>
      <c r="G218" s="4" t="n">
        <v>320</v>
      </c>
      <c r="H218" s="5" t="n">
        <v>0.15</v>
      </c>
      <c r="I218" s="4" t="n">
        <v>272</v>
      </c>
      <c r="J218" s="4" t="n">
        <v>95.2</v>
      </c>
      <c r="K218" s="4" t="n">
        <v>176.8</v>
      </c>
      <c r="L218" s="3" t="inlineStr">
        <is>
          <t>Consumer</t>
        </is>
      </c>
    </row>
    <row r="219">
      <c r="A219" s="6" t="n">
        <v>45934</v>
      </c>
      <c r="B219" t="inlineStr">
        <is>
          <t>TH-0218</t>
        </is>
      </c>
      <c r="C219" t="inlineStr">
        <is>
          <t>Office Chair</t>
        </is>
      </c>
      <c r="D219" t="inlineStr">
        <is>
          <t>Furniture</t>
        </is>
      </c>
      <c r="E219" t="inlineStr">
        <is>
          <t>North</t>
        </is>
      </c>
      <c r="F219" t="n">
        <v>5</v>
      </c>
      <c r="G219" s="7" t="n">
        <v>7800</v>
      </c>
      <c r="H219" s="8" t="n">
        <v>0</v>
      </c>
      <c r="I219" s="7" t="n">
        <v>39000</v>
      </c>
      <c r="J219" s="7" t="n">
        <v>22620</v>
      </c>
      <c r="K219" s="7" t="n">
        <v>16380</v>
      </c>
      <c r="L219" t="inlineStr">
        <is>
          <t>Consumer</t>
        </is>
      </c>
    </row>
    <row r="220">
      <c r="A220" s="2" t="n">
        <v>45665</v>
      </c>
      <c r="B220" s="3" t="inlineStr">
        <is>
          <t>TH-0219</t>
        </is>
      </c>
      <c r="C220" s="3" t="inlineStr">
        <is>
          <t>Desk</t>
        </is>
      </c>
      <c r="D220" s="3" t="inlineStr">
        <is>
          <t>Furniture</t>
        </is>
      </c>
      <c r="E220" s="3" t="inlineStr">
        <is>
          <t>East</t>
        </is>
      </c>
      <c r="F220" s="3" t="n">
        <v>5</v>
      </c>
      <c r="G220" s="4" t="n">
        <v>9500</v>
      </c>
      <c r="H220" s="5" t="n">
        <v>0.02</v>
      </c>
      <c r="I220" s="4" t="n">
        <v>46550</v>
      </c>
      <c r="J220" s="4" t="n">
        <v>25602.5</v>
      </c>
      <c r="K220" s="4" t="n">
        <v>20947.5</v>
      </c>
      <c r="L220" s="3" t="inlineStr">
        <is>
          <t>Consumer</t>
        </is>
      </c>
    </row>
    <row r="221">
      <c r="A221" s="6" t="n">
        <v>45747</v>
      </c>
      <c r="B221" t="inlineStr">
        <is>
          <t>TH-0220</t>
        </is>
      </c>
      <c r="C221" t="inlineStr">
        <is>
          <t>Office Chair</t>
        </is>
      </c>
      <c r="D221" t="inlineStr">
        <is>
          <t>Furniture</t>
        </is>
      </c>
      <c r="E221" t="inlineStr">
        <is>
          <t>West</t>
        </is>
      </c>
      <c r="F221" t="n">
        <v>1</v>
      </c>
      <c r="G221" s="7" t="n">
        <v>7800</v>
      </c>
      <c r="H221" s="8" t="n">
        <v>0.12</v>
      </c>
      <c r="I221" s="7" t="n">
        <v>6864</v>
      </c>
      <c r="J221" s="7" t="n">
        <v>3981.12</v>
      </c>
      <c r="K221" s="7" t="n">
        <v>2882.88</v>
      </c>
      <c r="L221" t="inlineStr">
        <is>
          <t>Small Business</t>
        </is>
      </c>
    </row>
    <row r="222">
      <c r="A222" s="2" t="n">
        <v>45716</v>
      </c>
      <c r="B222" s="3" t="inlineStr">
        <is>
          <t>TH-0221</t>
        </is>
      </c>
      <c r="C222" s="3" t="inlineStr">
        <is>
          <t>Desk Lamp</t>
        </is>
      </c>
      <c r="D222" s="3" t="inlineStr">
        <is>
          <t>Furniture</t>
        </is>
      </c>
      <c r="E222" s="3" t="inlineStr">
        <is>
          <t>East</t>
        </is>
      </c>
      <c r="F222" s="3" t="n">
        <v>1</v>
      </c>
      <c r="G222" s="4" t="n">
        <v>1450</v>
      </c>
      <c r="H222" s="5" t="n">
        <v>0.08</v>
      </c>
      <c r="I222" s="4" t="n">
        <v>1334</v>
      </c>
      <c r="J222" s="4" t="n">
        <v>560.28</v>
      </c>
      <c r="K222" s="4" t="n">
        <v>773.72</v>
      </c>
      <c r="L222" s="3" t="inlineStr">
        <is>
          <t>Small Business</t>
        </is>
      </c>
    </row>
    <row r="223">
      <c r="A223" s="6" t="n">
        <v>45961</v>
      </c>
      <c r="B223" t="inlineStr">
        <is>
          <t>TH-0222</t>
        </is>
      </c>
      <c r="C223" t="inlineStr">
        <is>
          <t>Wireless Mouse</t>
        </is>
      </c>
      <c r="D223" t="inlineStr">
        <is>
          <t>Accessories</t>
        </is>
      </c>
      <c r="E223" t="inlineStr">
        <is>
          <t>North</t>
        </is>
      </c>
      <c r="F223" t="n">
        <v>3</v>
      </c>
      <c r="G223" s="7" t="n">
        <v>850</v>
      </c>
      <c r="H223" s="8" t="n">
        <v>0.02</v>
      </c>
      <c r="I223" s="7" t="n">
        <v>2499</v>
      </c>
      <c r="J223" s="7" t="n">
        <v>1199.52</v>
      </c>
      <c r="K223" s="7" t="n">
        <v>1299.48</v>
      </c>
      <c r="L223" t="inlineStr">
        <is>
          <t>Small Business</t>
        </is>
      </c>
    </row>
    <row r="224">
      <c r="A224" s="2" t="n">
        <v>45995</v>
      </c>
      <c r="B224" s="3" t="inlineStr">
        <is>
          <t>TH-0223</t>
        </is>
      </c>
      <c r="C224" s="3" t="inlineStr">
        <is>
          <t>Webcam</t>
        </is>
      </c>
      <c r="D224" s="3" t="inlineStr">
        <is>
          <t>Electronics</t>
        </is>
      </c>
      <c r="E224" s="3" t="inlineStr">
        <is>
          <t>North</t>
        </is>
      </c>
      <c r="F224" s="3" t="n">
        <v>2</v>
      </c>
      <c r="G224" s="4" t="n">
        <v>4100</v>
      </c>
      <c r="H224" s="5" t="n">
        <v>0.12</v>
      </c>
      <c r="I224" s="4" t="n">
        <v>7216</v>
      </c>
      <c r="J224" s="4" t="n">
        <v>4329.6</v>
      </c>
      <c r="K224" s="4" t="n">
        <v>2886.4</v>
      </c>
      <c r="L224" s="3" t="inlineStr">
        <is>
          <t>Consumer</t>
        </is>
      </c>
    </row>
    <row r="225">
      <c r="A225" s="6" t="n">
        <v>45903</v>
      </c>
      <c r="B225" t="inlineStr">
        <is>
          <t>TH-0224</t>
        </is>
      </c>
      <c r="C225" t="inlineStr">
        <is>
          <t>Headphones</t>
        </is>
      </c>
      <c r="D225" t="inlineStr">
        <is>
          <t>Electronics</t>
        </is>
      </c>
      <c r="E225" t="inlineStr">
        <is>
          <t>West</t>
        </is>
      </c>
      <c r="F225" t="n">
        <v>3</v>
      </c>
      <c r="G225" s="7" t="n">
        <v>3200</v>
      </c>
      <c r="H225" s="8" t="n">
        <v>0</v>
      </c>
      <c r="I225" s="7" t="n">
        <v>9600</v>
      </c>
      <c r="J225" s="7" t="n">
        <v>5952</v>
      </c>
      <c r="K225" s="7" t="n">
        <v>3648</v>
      </c>
      <c r="L225" t="inlineStr">
        <is>
          <t>Small Business</t>
        </is>
      </c>
    </row>
    <row r="226">
      <c r="A226" s="2" t="n">
        <v>45885</v>
      </c>
      <c r="B226" s="3" t="inlineStr">
        <is>
          <t>TH-0225</t>
        </is>
      </c>
      <c r="C226" s="3" t="inlineStr">
        <is>
          <t>Wireless Mouse</t>
        </is>
      </c>
      <c r="D226" s="3" t="inlineStr">
        <is>
          <t>Accessories</t>
        </is>
      </c>
      <c r="E226" s="3" t="inlineStr">
        <is>
          <t>South</t>
        </is>
      </c>
      <c r="F226" s="3" t="n">
        <v>6</v>
      </c>
      <c r="G226" s="4" t="n">
        <v>850</v>
      </c>
      <c r="H226" s="5" t="n">
        <v>0.05</v>
      </c>
      <c r="I226" s="4" t="n">
        <v>4845</v>
      </c>
      <c r="J226" s="4" t="n">
        <v>2325.6</v>
      </c>
      <c r="K226" s="4" t="n">
        <v>2519.4</v>
      </c>
      <c r="L226" s="3" t="inlineStr">
        <is>
          <t>Consumer</t>
        </is>
      </c>
    </row>
    <row r="227">
      <c r="A227" s="6" t="n">
        <v>45722</v>
      </c>
      <c r="B227" t="inlineStr">
        <is>
          <t>TH-0226</t>
        </is>
      </c>
      <c r="C227" t="inlineStr">
        <is>
          <t>Office Chair</t>
        </is>
      </c>
      <c r="D227" t="inlineStr">
        <is>
          <t>Furniture</t>
        </is>
      </c>
      <c r="E227" t="inlineStr">
        <is>
          <t>East</t>
        </is>
      </c>
      <c r="F227" t="n">
        <v>4</v>
      </c>
      <c r="G227" s="7" t="n">
        <v>7800</v>
      </c>
      <c r="H227" s="8" t="n">
        <v>0.1</v>
      </c>
      <c r="I227" s="7" t="n">
        <v>28080</v>
      </c>
      <c r="J227" s="7" t="n">
        <v>16286.4</v>
      </c>
      <c r="K227" s="7" t="n">
        <v>11793.6</v>
      </c>
      <c r="L227" t="inlineStr">
        <is>
          <t>Corporate</t>
        </is>
      </c>
    </row>
    <row r="228">
      <c r="A228" s="2" t="n">
        <v>45963</v>
      </c>
      <c r="B228" s="3" t="inlineStr">
        <is>
          <t>TH-0227</t>
        </is>
      </c>
      <c r="C228" s="3" t="inlineStr">
        <is>
          <t>Webcam</t>
        </is>
      </c>
      <c r="D228" s="3" t="inlineStr">
        <is>
          <t>Electronics</t>
        </is>
      </c>
      <c r="E228" s="3" t="inlineStr">
        <is>
          <t>West</t>
        </is>
      </c>
      <c r="F228" s="3" t="n">
        <v>2</v>
      </c>
      <c r="G228" s="4" t="n">
        <v>4100</v>
      </c>
      <c r="H228" s="5" t="n">
        <v>0.1</v>
      </c>
      <c r="I228" s="4" t="n">
        <v>7380</v>
      </c>
      <c r="J228" s="4" t="n">
        <v>4428</v>
      </c>
      <c r="K228" s="4" t="n">
        <v>2952</v>
      </c>
      <c r="L228" s="3" t="inlineStr">
        <is>
          <t>Consumer</t>
        </is>
      </c>
    </row>
    <row r="229">
      <c r="A229" s="6" t="n">
        <v>46017</v>
      </c>
      <c r="B229" t="inlineStr">
        <is>
          <t>TH-0228</t>
        </is>
      </c>
      <c r="C229" t="inlineStr">
        <is>
          <t>Wireless Mouse</t>
        </is>
      </c>
      <c r="D229" t="inlineStr">
        <is>
          <t>Accessories</t>
        </is>
      </c>
      <c r="E229" t="inlineStr">
        <is>
          <t>South</t>
        </is>
      </c>
      <c r="F229" t="n">
        <v>6</v>
      </c>
      <c r="G229" s="7" t="n">
        <v>850</v>
      </c>
      <c r="H229" s="8" t="n">
        <v>0.12</v>
      </c>
      <c r="I229" s="7" t="n">
        <v>4488</v>
      </c>
      <c r="J229" s="7" t="n">
        <v>2154.24</v>
      </c>
      <c r="K229" s="7" t="n">
        <v>2333.76</v>
      </c>
      <c r="L229" t="inlineStr">
        <is>
          <t>Corporate</t>
        </is>
      </c>
    </row>
    <row r="230">
      <c r="A230" s="2" t="n">
        <v>45889</v>
      </c>
      <c r="B230" s="3" t="inlineStr">
        <is>
          <t>TH-0229</t>
        </is>
      </c>
      <c r="C230" s="3" t="inlineStr">
        <is>
          <t>Monitor</t>
        </is>
      </c>
      <c r="D230" s="3" t="inlineStr">
        <is>
          <t>Electronics</t>
        </is>
      </c>
      <c r="E230" s="3" t="inlineStr">
        <is>
          <t>West</t>
        </is>
      </c>
      <c r="F230" s="3" t="n">
        <v>2</v>
      </c>
      <c r="G230" s="4" t="n">
        <v>12500</v>
      </c>
      <c r="H230" s="5" t="n">
        <v>0.15</v>
      </c>
      <c r="I230" s="4" t="n">
        <v>21250</v>
      </c>
      <c r="J230" s="4" t="n">
        <v>14237.5</v>
      </c>
      <c r="K230" s="4" t="n">
        <v>7012.5</v>
      </c>
      <c r="L230" s="3" t="inlineStr">
        <is>
          <t>Corporate</t>
        </is>
      </c>
    </row>
    <row r="231">
      <c r="A231" s="6" t="n">
        <v>45870</v>
      </c>
      <c r="B231" t="inlineStr">
        <is>
          <t>TH-0230</t>
        </is>
      </c>
      <c r="C231" t="inlineStr">
        <is>
          <t>Desk Lamp</t>
        </is>
      </c>
      <c r="D231" t="inlineStr">
        <is>
          <t>Furniture</t>
        </is>
      </c>
      <c r="E231" t="inlineStr">
        <is>
          <t>East</t>
        </is>
      </c>
      <c r="F231" t="n">
        <v>1</v>
      </c>
      <c r="G231" s="7" t="n">
        <v>1450</v>
      </c>
      <c r="H231" s="8" t="n">
        <v>0.08</v>
      </c>
      <c r="I231" s="7" t="n">
        <v>1334</v>
      </c>
      <c r="J231" s="7" t="n">
        <v>560.28</v>
      </c>
      <c r="K231" s="7" t="n">
        <v>773.72</v>
      </c>
      <c r="L231" t="inlineStr">
        <is>
          <t>Small Business</t>
        </is>
      </c>
    </row>
    <row r="232">
      <c r="A232" s="2" t="n">
        <v>45788</v>
      </c>
      <c r="B232" s="3" t="inlineStr">
        <is>
          <t>TH-0231</t>
        </is>
      </c>
      <c r="C232" s="3" t="inlineStr">
        <is>
          <t>Desk</t>
        </is>
      </c>
      <c r="D232" s="3" t="inlineStr">
        <is>
          <t>Furniture</t>
        </is>
      </c>
      <c r="E232" s="3" t="inlineStr">
        <is>
          <t>West</t>
        </is>
      </c>
      <c r="F232" s="3" t="n">
        <v>8</v>
      </c>
      <c r="G232" s="4" t="n">
        <v>9500</v>
      </c>
      <c r="H232" s="5" t="n">
        <v>0.12</v>
      </c>
      <c r="I232" s="4" t="n">
        <v>66880</v>
      </c>
      <c r="J232" s="4" t="n">
        <v>36784</v>
      </c>
      <c r="K232" s="4" t="n">
        <v>30096</v>
      </c>
      <c r="L232" s="3" t="inlineStr">
        <is>
          <t>Consumer</t>
        </is>
      </c>
    </row>
    <row r="233">
      <c r="A233" s="6" t="n">
        <v>45704</v>
      </c>
      <c r="B233" t="inlineStr">
        <is>
          <t>TH-0232</t>
        </is>
      </c>
      <c r="C233" t="inlineStr">
        <is>
          <t>Wireless Mouse</t>
        </is>
      </c>
      <c r="D233" t="inlineStr">
        <is>
          <t>Accessories</t>
        </is>
      </c>
      <c r="E233" t="inlineStr">
        <is>
          <t>East</t>
        </is>
      </c>
      <c r="F233" t="n">
        <v>1</v>
      </c>
      <c r="G233" s="7" t="n">
        <v>850</v>
      </c>
      <c r="H233" s="8" t="n">
        <v>0</v>
      </c>
      <c r="I233" s="7" t="n">
        <v>850</v>
      </c>
      <c r="J233" s="7" t="n">
        <v>408</v>
      </c>
      <c r="K233" s="7" t="n">
        <v>442</v>
      </c>
      <c r="L233" t="inlineStr">
        <is>
          <t>Consumer</t>
        </is>
      </c>
    </row>
    <row r="234">
      <c r="A234" s="2" t="n">
        <v>45942</v>
      </c>
      <c r="B234" s="3" t="inlineStr">
        <is>
          <t>TH-0233</t>
        </is>
      </c>
      <c r="C234" s="3" t="inlineStr">
        <is>
          <t>Laptop</t>
        </is>
      </c>
      <c r="D234" s="3" t="inlineStr">
        <is>
          <t>Electronics</t>
        </is>
      </c>
      <c r="E234" s="3" t="inlineStr">
        <is>
          <t>East</t>
        </is>
      </c>
      <c r="F234" s="3" t="n">
        <v>3</v>
      </c>
      <c r="G234" s="4" t="n">
        <v>42000</v>
      </c>
      <c r="H234" s="5" t="n">
        <v>0.1</v>
      </c>
      <c r="I234" s="4" t="n">
        <v>113400</v>
      </c>
      <c r="J234" s="4" t="n">
        <v>81648</v>
      </c>
      <c r="K234" s="4" t="n">
        <v>31752</v>
      </c>
      <c r="L234" s="3" t="inlineStr">
        <is>
          <t>Small Business</t>
        </is>
      </c>
    </row>
    <row r="235">
      <c r="A235" s="6" t="n">
        <v>45720</v>
      </c>
      <c r="B235" t="inlineStr">
        <is>
          <t>TH-0234</t>
        </is>
      </c>
      <c r="C235" t="inlineStr">
        <is>
          <t>Headphones</t>
        </is>
      </c>
      <c r="D235" t="inlineStr">
        <is>
          <t>Electronics</t>
        </is>
      </c>
      <c r="E235" t="inlineStr">
        <is>
          <t>West</t>
        </is>
      </c>
      <c r="F235" t="n">
        <v>2</v>
      </c>
      <c r="G235" s="7" t="n">
        <v>3200</v>
      </c>
      <c r="H235" s="8" t="n">
        <v>0.12</v>
      </c>
      <c r="I235" s="7" t="n">
        <v>5632</v>
      </c>
      <c r="J235" s="7" t="n">
        <v>3491.84</v>
      </c>
      <c r="K235" s="7" t="n">
        <v>2140.16</v>
      </c>
      <c r="L235" t="inlineStr">
        <is>
          <t>Small Business</t>
        </is>
      </c>
    </row>
    <row r="236">
      <c r="A236" s="2" t="n">
        <v>45684</v>
      </c>
      <c r="B236" s="3" t="inlineStr">
        <is>
          <t>TH-0235</t>
        </is>
      </c>
      <c r="C236" s="3" t="inlineStr">
        <is>
          <t>Office Chair</t>
        </is>
      </c>
      <c r="D236" s="3" t="inlineStr">
        <is>
          <t>Furniture</t>
        </is>
      </c>
      <c r="E236" s="3" t="inlineStr">
        <is>
          <t>North</t>
        </is>
      </c>
      <c r="F236" s="3" t="n">
        <v>4</v>
      </c>
      <c r="G236" s="4" t="n">
        <v>7800</v>
      </c>
      <c r="H236" s="5" t="n">
        <v>0.05</v>
      </c>
      <c r="I236" s="4" t="n">
        <v>29640</v>
      </c>
      <c r="J236" s="4" t="n">
        <v>17191.2</v>
      </c>
      <c r="K236" s="4" t="n">
        <v>12448.8</v>
      </c>
      <c r="L236" s="3" t="inlineStr">
        <is>
          <t>Small Business</t>
        </is>
      </c>
    </row>
    <row r="237">
      <c r="A237" s="6" t="n">
        <v>45917</v>
      </c>
      <c r="B237" t="inlineStr">
        <is>
          <t>TH-0236</t>
        </is>
      </c>
      <c r="C237" t="inlineStr">
        <is>
          <t>Monitor</t>
        </is>
      </c>
      <c r="D237" t="inlineStr">
        <is>
          <t>Electronics</t>
        </is>
      </c>
      <c r="E237" t="inlineStr">
        <is>
          <t>South</t>
        </is>
      </c>
      <c r="F237" t="n">
        <v>1</v>
      </c>
      <c r="G237" s="7" t="n">
        <v>12500</v>
      </c>
      <c r="H237" s="8" t="n">
        <v>0.08</v>
      </c>
      <c r="I237" s="7" t="n">
        <v>11500</v>
      </c>
      <c r="J237" s="7" t="n">
        <v>7705</v>
      </c>
      <c r="K237" s="7" t="n">
        <v>3795</v>
      </c>
      <c r="L237" t="inlineStr">
        <is>
          <t>Consumer</t>
        </is>
      </c>
    </row>
    <row r="238">
      <c r="A238" s="2" t="n">
        <v>45837</v>
      </c>
      <c r="B238" s="3" t="inlineStr">
        <is>
          <t>TH-0237</t>
        </is>
      </c>
      <c r="C238" s="3" t="inlineStr">
        <is>
          <t>Webcam</t>
        </is>
      </c>
      <c r="D238" s="3" t="inlineStr">
        <is>
          <t>Electronics</t>
        </is>
      </c>
      <c r="E238" s="3" t="inlineStr">
        <is>
          <t>East</t>
        </is>
      </c>
      <c r="F238" s="3" t="n">
        <v>2</v>
      </c>
      <c r="G238" s="4" t="n">
        <v>4100</v>
      </c>
      <c r="H238" s="5" t="n">
        <v>0.15</v>
      </c>
      <c r="I238" s="4" t="n">
        <v>6970</v>
      </c>
      <c r="J238" s="4" t="n">
        <v>4182</v>
      </c>
      <c r="K238" s="4" t="n">
        <v>2788</v>
      </c>
      <c r="L238" s="3" t="inlineStr">
        <is>
          <t>Small Business</t>
        </is>
      </c>
    </row>
    <row r="239">
      <c r="A239" s="6" t="n">
        <v>45773</v>
      </c>
      <c r="B239" t="inlineStr">
        <is>
          <t>TH-0238</t>
        </is>
      </c>
      <c r="C239" t="inlineStr">
        <is>
          <t>Headphones</t>
        </is>
      </c>
      <c r="D239" t="inlineStr">
        <is>
          <t>Electronics</t>
        </is>
      </c>
      <c r="E239" t="inlineStr">
        <is>
          <t>North</t>
        </is>
      </c>
      <c r="F239" t="n">
        <v>6</v>
      </c>
      <c r="G239" s="7" t="n">
        <v>3200</v>
      </c>
      <c r="H239" s="8" t="n">
        <v>0.15</v>
      </c>
      <c r="I239" s="7" t="n">
        <v>16320</v>
      </c>
      <c r="J239" s="7" t="n">
        <v>10118.4</v>
      </c>
      <c r="K239" s="7" t="n">
        <v>6201.6</v>
      </c>
      <c r="L239" t="inlineStr">
        <is>
          <t>Small Business</t>
        </is>
      </c>
    </row>
    <row r="240">
      <c r="A240" s="2" t="n">
        <v>45994</v>
      </c>
      <c r="B240" s="3" t="inlineStr">
        <is>
          <t>TH-0239</t>
        </is>
      </c>
      <c r="C240" s="3" t="inlineStr">
        <is>
          <t>Desk Lamp</t>
        </is>
      </c>
      <c r="D240" s="3" t="inlineStr">
        <is>
          <t>Furniture</t>
        </is>
      </c>
      <c r="E240" s="3" t="inlineStr">
        <is>
          <t>East</t>
        </is>
      </c>
      <c r="F240" s="3" t="n">
        <v>2</v>
      </c>
      <c r="G240" s="4" t="n">
        <v>1450</v>
      </c>
      <c r="H240" s="5" t="n">
        <v>0.02</v>
      </c>
      <c r="I240" s="4" t="n">
        <v>2842</v>
      </c>
      <c r="J240" s="4" t="n">
        <v>1193.64</v>
      </c>
      <c r="K240" s="4" t="n">
        <v>1648.36</v>
      </c>
      <c r="L240" s="3" t="inlineStr">
        <is>
          <t>Small Business</t>
        </is>
      </c>
    </row>
    <row r="241">
      <c r="A241" s="6" t="n">
        <v>45816</v>
      </c>
      <c r="B241" t="inlineStr">
        <is>
          <t>TH-0240</t>
        </is>
      </c>
      <c r="C241" t="inlineStr">
        <is>
          <t>Desk</t>
        </is>
      </c>
      <c r="D241" t="inlineStr">
        <is>
          <t>Furniture</t>
        </is>
      </c>
      <c r="E241" t="inlineStr">
        <is>
          <t>South</t>
        </is>
      </c>
      <c r="F241" t="n">
        <v>2</v>
      </c>
      <c r="G241" s="7" t="n">
        <v>9500</v>
      </c>
      <c r="H241" s="8" t="n">
        <v>0.02</v>
      </c>
      <c r="I241" s="7" t="n">
        <v>18620</v>
      </c>
      <c r="J241" s="7" t="n">
        <v>10241</v>
      </c>
      <c r="K241" s="7" t="n">
        <v>8379</v>
      </c>
      <c r="L241" t="inlineStr">
        <is>
          <t>Small Business</t>
        </is>
      </c>
    </row>
    <row r="242">
      <c r="A242" s="2" t="n">
        <v>45994</v>
      </c>
      <c r="B242" s="3" t="inlineStr">
        <is>
          <t>TH-0241</t>
        </is>
      </c>
      <c r="C242" s="3" t="inlineStr">
        <is>
          <t>Headphones</t>
        </is>
      </c>
      <c r="D242" s="3" t="inlineStr">
        <is>
          <t>Electronics</t>
        </is>
      </c>
      <c r="E242" s="3" t="inlineStr">
        <is>
          <t>North</t>
        </is>
      </c>
      <c r="F242" s="3" t="n">
        <v>1</v>
      </c>
      <c r="G242" s="4" t="n">
        <v>3200</v>
      </c>
      <c r="H242" s="5" t="n">
        <v>0.12</v>
      </c>
      <c r="I242" s="4" t="n">
        <v>2816</v>
      </c>
      <c r="J242" s="4" t="n">
        <v>1745.92</v>
      </c>
      <c r="K242" s="4" t="n">
        <v>1070.08</v>
      </c>
      <c r="L242" s="3" t="inlineStr">
        <is>
          <t>Consumer</t>
        </is>
      </c>
    </row>
    <row r="243">
      <c r="A243" s="6" t="n">
        <v>45929</v>
      </c>
      <c r="B243" t="inlineStr">
        <is>
          <t>TH-0242</t>
        </is>
      </c>
      <c r="C243" t="inlineStr">
        <is>
          <t>Monitor</t>
        </is>
      </c>
      <c r="D243" t="inlineStr">
        <is>
          <t>Electronics</t>
        </is>
      </c>
      <c r="E243" t="inlineStr">
        <is>
          <t>East</t>
        </is>
      </c>
      <c r="F243" t="n">
        <v>2</v>
      </c>
      <c r="G243" s="7" t="n">
        <v>12500</v>
      </c>
      <c r="H243" s="8" t="n">
        <v>0.08</v>
      </c>
      <c r="I243" s="7" t="n">
        <v>23000</v>
      </c>
      <c r="J243" s="7" t="n">
        <v>15410</v>
      </c>
      <c r="K243" s="7" t="n">
        <v>7590</v>
      </c>
      <c r="L243" t="inlineStr">
        <is>
          <t>Consumer</t>
        </is>
      </c>
    </row>
    <row r="244">
      <c r="A244" s="2" t="n">
        <v>45847</v>
      </c>
      <c r="B244" s="3" t="inlineStr">
        <is>
          <t>TH-0243</t>
        </is>
      </c>
      <c r="C244" s="3" t="inlineStr">
        <is>
          <t>Office Chair</t>
        </is>
      </c>
      <c r="D244" s="3" t="inlineStr">
        <is>
          <t>Furniture</t>
        </is>
      </c>
      <c r="E244" s="3" t="inlineStr">
        <is>
          <t>North</t>
        </is>
      </c>
      <c r="F244" s="3" t="n">
        <v>4</v>
      </c>
      <c r="G244" s="4" t="n">
        <v>7800</v>
      </c>
      <c r="H244" s="5" t="n">
        <v>0.15</v>
      </c>
      <c r="I244" s="4" t="n">
        <v>26520</v>
      </c>
      <c r="J244" s="4" t="n">
        <v>15381.6</v>
      </c>
      <c r="K244" s="4" t="n">
        <v>11138.4</v>
      </c>
      <c r="L244" s="3" t="inlineStr">
        <is>
          <t>Consumer</t>
        </is>
      </c>
    </row>
    <row r="245">
      <c r="A245" s="6" t="n">
        <v>45737</v>
      </c>
      <c r="B245" t="inlineStr">
        <is>
          <t>TH-0244</t>
        </is>
      </c>
      <c r="C245" t="inlineStr">
        <is>
          <t>Keyboard</t>
        </is>
      </c>
      <c r="D245" t="inlineStr">
        <is>
          <t>Accessories</t>
        </is>
      </c>
      <c r="E245" t="inlineStr">
        <is>
          <t>North</t>
        </is>
      </c>
      <c r="F245" t="n">
        <v>5</v>
      </c>
      <c r="G245" s="7" t="n">
        <v>1600</v>
      </c>
      <c r="H245" s="8" t="n">
        <v>0</v>
      </c>
      <c r="I245" s="7" t="n">
        <v>8000</v>
      </c>
      <c r="J245" s="7" t="n">
        <v>4160</v>
      </c>
      <c r="K245" s="7" t="n">
        <v>3840</v>
      </c>
      <c r="L245" t="inlineStr">
        <is>
          <t>Corporate</t>
        </is>
      </c>
    </row>
    <row r="246">
      <c r="A246" s="2" t="n">
        <v>45884</v>
      </c>
      <c r="B246" s="3" t="inlineStr">
        <is>
          <t>TH-0245</t>
        </is>
      </c>
      <c r="C246" s="3" t="inlineStr">
        <is>
          <t>Printer</t>
        </is>
      </c>
      <c r="D246" s="3" t="inlineStr">
        <is>
          <t>Electronics</t>
        </is>
      </c>
      <c r="E246" s="3" t="inlineStr">
        <is>
          <t>West</t>
        </is>
      </c>
      <c r="F246" s="3" t="n">
        <v>3</v>
      </c>
      <c r="G246" s="4" t="n">
        <v>9800</v>
      </c>
      <c r="H246" s="5" t="n">
        <v>0.1</v>
      </c>
      <c r="I246" s="4" t="n">
        <v>26460</v>
      </c>
      <c r="J246" s="4" t="n">
        <v>16669.8</v>
      </c>
      <c r="K246" s="4" t="n">
        <v>9790.200000000001</v>
      </c>
      <c r="L246" s="3" t="inlineStr">
        <is>
          <t>Corporate</t>
        </is>
      </c>
    </row>
    <row r="247">
      <c r="A247" s="6" t="n">
        <v>45797</v>
      </c>
      <c r="B247" t="inlineStr">
        <is>
          <t>TH-0246</t>
        </is>
      </c>
      <c r="C247" t="inlineStr">
        <is>
          <t>Monitor</t>
        </is>
      </c>
      <c r="D247" t="inlineStr">
        <is>
          <t>Electronics</t>
        </is>
      </c>
      <c r="E247" t="inlineStr">
        <is>
          <t>East</t>
        </is>
      </c>
      <c r="F247" t="n">
        <v>5</v>
      </c>
      <c r="G247" s="7" t="n">
        <v>12500</v>
      </c>
      <c r="H247" s="8" t="n">
        <v>0</v>
      </c>
      <c r="I247" s="7" t="n">
        <v>62500</v>
      </c>
      <c r="J247" s="7" t="n">
        <v>41875</v>
      </c>
      <c r="K247" s="7" t="n">
        <v>20625</v>
      </c>
      <c r="L247" t="inlineStr">
        <is>
          <t>Corporate</t>
        </is>
      </c>
    </row>
    <row r="248">
      <c r="A248" s="2" t="n">
        <v>45714</v>
      </c>
      <c r="B248" s="3" t="inlineStr">
        <is>
          <t>TH-0247</t>
        </is>
      </c>
      <c r="C248" s="3" t="inlineStr">
        <is>
          <t>Office Chair</t>
        </is>
      </c>
      <c r="D248" s="3" t="inlineStr">
        <is>
          <t>Furniture</t>
        </is>
      </c>
      <c r="E248" s="3" t="inlineStr">
        <is>
          <t>West</t>
        </is>
      </c>
      <c r="F248" s="3" t="n">
        <v>4</v>
      </c>
      <c r="G248" s="4" t="n">
        <v>7800</v>
      </c>
      <c r="H248" s="5" t="n">
        <v>0.1</v>
      </c>
      <c r="I248" s="4" t="n">
        <v>28080</v>
      </c>
      <c r="J248" s="4" t="n">
        <v>16286.4</v>
      </c>
      <c r="K248" s="4" t="n">
        <v>11793.6</v>
      </c>
      <c r="L248" s="3" t="inlineStr">
        <is>
          <t>Small Business</t>
        </is>
      </c>
    </row>
    <row r="249">
      <c r="A249" s="6" t="n">
        <v>45999</v>
      </c>
      <c r="B249" t="inlineStr">
        <is>
          <t>TH-0248</t>
        </is>
      </c>
      <c r="C249" t="inlineStr">
        <is>
          <t>Office Chair</t>
        </is>
      </c>
      <c r="D249" t="inlineStr">
        <is>
          <t>Furniture</t>
        </is>
      </c>
      <c r="E249" t="inlineStr">
        <is>
          <t>North</t>
        </is>
      </c>
      <c r="F249" t="n">
        <v>1</v>
      </c>
      <c r="G249" s="7" t="n">
        <v>7800</v>
      </c>
      <c r="H249" s="8" t="n">
        <v>0.08</v>
      </c>
      <c r="I249" s="7" t="n">
        <v>7176</v>
      </c>
      <c r="J249" s="7" t="n">
        <v>4162.08</v>
      </c>
      <c r="K249" s="7" t="n">
        <v>3013.92</v>
      </c>
      <c r="L249" t="inlineStr">
        <is>
          <t>Consumer</t>
        </is>
      </c>
    </row>
    <row r="250">
      <c r="A250" s="2" t="n">
        <v>45762</v>
      </c>
      <c r="B250" s="3" t="inlineStr">
        <is>
          <t>TH-0249</t>
        </is>
      </c>
      <c r="C250" s="3" t="inlineStr">
        <is>
          <t>Office Chair</t>
        </is>
      </c>
      <c r="D250" s="3" t="inlineStr">
        <is>
          <t>Furniture</t>
        </is>
      </c>
      <c r="E250" s="3" t="inlineStr">
        <is>
          <t>South</t>
        </is>
      </c>
      <c r="F250" s="3" t="n">
        <v>8</v>
      </c>
      <c r="G250" s="4" t="n">
        <v>7800</v>
      </c>
      <c r="H250" s="5" t="n">
        <v>0.15</v>
      </c>
      <c r="I250" s="4" t="n">
        <v>53040</v>
      </c>
      <c r="J250" s="4" t="n">
        <v>30763.2</v>
      </c>
      <c r="K250" s="4" t="n">
        <v>22276.8</v>
      </c>
      <c r="L250" s="3" t="inlineStr">
        <is>
          <t>Corporate</t>
        </is>
      </c>
    </row>
    <row r="251">
      <c r="A251" s="6" t="n">
        <v>45806</v>
      </c>
      <c r="B251" t="inlineStr">
        <is>
          <t>TH-0250</t>
        </is>
      </c>
      <c r="C251" t="inlineStr">
        <is>
          <t>Desk</t>
        </is>
      </c>
      <c r="D251" t="inlineStr">
        <is>
          <t>Furniture</t>
        </is>
      </c>
      <c r="E251" t="inlineStr">
        <is>
          <t>West</t>
        </is>
      </c>
      <c r="F251" t="n">
        <v>1</v>
      </c>
      <c r="G251" s="7" t="n">
        <v>9500</v>
      </c>
      <c r="H251" s="8" t="n">
        <v>0.08</v>
      </c>
      <c r="I251" s="7" t="n">
        <v>8740</v>
      </c>
      <c r="J251" s="7" t="n">
        <v>4807</v>
      </c>
      <c r="K251" s="7" t="n">
        <v>3933</v>
      </c>
      <c r="L251" t="inlineStr">
        <is>
          <t>Consumer</t>
        </is>
      </c>
    </row>
    <row r="252">
      <c r="A252" s="2" t="n">
        <v>45724</v>
      </c>
      <c r="B252" s="3" t="inlineStr">
        <is>
          <t>TH-0251</t>
        </is>
      </c>
      <c r="C252" s="3" t="inlineStr">
        <is>
          <t>Headphones</t>
        </is>
      </c>
      <c r="D252" s="3" t="inlineStr">
        <is>
          <t>Electronics</t>
        </is>
      </c>
      <c r="E252" s="3" t="inlineStr">
        <is>
          <t>East</t>
        </is>
      </c>
      <c r="F252" s="3" t="n">
        <v>3</v>
      </c>
      <c r="G252" s="4" t="n">
        <v>3200</v>
      </c>
      <c r="H252" s="5" t="n">
        <v>0.02</v>
      </c>
      <c r="I252" s="4" t="n">
        <v>9408</v>
      </c>
      <c r="J252" s="4" t="n">
        <v>5832.96</v>
      </c>
      <c r="K252" s="4" t="n">
        <v>3575.04</v>
      </c>
      <c r="L252" s="3" t="inlineStr">
        <is>
          <t>Consumer</t>
        </is>
      </c>
    </row>
    <row r="253">
      <c r="A253" s="6" t="n">
        <v>45861</v>
      </c>
      <c r="B253" t="inlineStr">
        <is>
          <t>TH-0252</t>
        </is>
      </c>
      <c r="C253" t="inlineStr">
        <is>
          <t>Desk Lamp</t>
        </is>
      </c>
      <c r="D253" t="inlineStr">
        <is>
          <t>Furniture</t>
        </is>
      </c>
      <c r="E253" t="inlineStr">
        <is>
          <t>West</t>
        </is>
      </c>
      <c r="F253" t="n">
        <v>1</v>
      </c>
      <c r="G253" s="7" t="n">
        <v>1450</v>
      </c>
      <c r="H253" s="8" t="n">
        <v>0</v>
      </c>
      <c r="I253" s="7" t="n">
        <v>1450</v>
      </c>
      <c r="J253" s="7" t="n">
        <v>609</v>
      </c>
      <c r="K253" s="7" t="n">
        <v>841</v>
      </c>
      <c r="L253" t="inlineStr">
        <is>
          <t>Consumer</t>
        </is>
      </c>
    </row>
    <row r="254">
      <c r="A254" s="2" t="n">
        <v>45818</v>
      </c>
      <c r="B254" s="3" t="inlineStr">
        <is>
          <t>TH-0253</t>
        </is>
      </c>
      <c r="C254" s="3" t="inlineStr">
        <is>
          <t>Notebook Pack</t>
        </is>
      </c>
      <c r="D254" s="3" t="inlineStr">
        <is>
          <t>Stationery</t>
        </is>
      </c>
      <c r="E254" s="3" t="inlineStr">
        <is>
          <t>West</t>
        </is>
      </c>
      <c r="F254" s="3" t="n">
        <v>3</v>
      </c>
      <c r="G254" s="4" t="n">
        <v>320</v>
      </c>
      <c r="H254" s="5" t="n">
        <v>0.08</v>
      </c>
      <c r="I254" s="4" t="n">
        <v>883.2</v>
      </c>
      <c r="J254" s="4" t="n">
        <v>309.12</v>
      </c>
      <c r="K254" s="4" t="n">
        <v>574.08</v>
      </c>
      <c r="L254" s="3" t="inlineStr">
        <is>
          <t>Corporate</t>
        </is>
      </c>
    </row>
    <row r="255">
      <c r="A255" s="6" t="n">
        <v>45716</v>
      </c>
      <c r="B255" t="inlineStr">
        <is>
          <t>TH-0254</t>
        </is>
      </c>
      <c r="C255" t="inlineStr">
        <is>
          <t>Headphones</t>
        </is>
      </c>
      <c r="D255" t="inlineStr">
        <is>
          <t>Electronics</t>
        </is>
      </c>
      <c r="E255" t="inlineStr">
        <is>
          <t>South</t>
        </is>
      </c>
      <c r="F255" t="n">
        <v>1</v>
      </c>
      <c r="G255" s="7" t="n">
        <v>3200</v>
      </c>
      <c r="H255" s="8" t="n">
        <v>0.05</v>
      </c>
      <c r="I255" s="7" t="n">
        <v>3040</v>
      </c>
      <c r="J255" s="7" t="n">
        <v>1884.8</v>
      </c>
      <c r="K255" s="7" t="n">
        <v>1155.2</v>
      </c>
      <c r="L255" t="inlineStr">
        <is>
          <t>Small Business</t>
        </is>
      </c>
    </row>
    <row r="256">
      <c r="A256" s="2" t="n">
        <v>45893</v>
      </c>
      <c r="B256" s="3" t="inlineStr">
        <is>
          <t>TH-0255</t>
        </is>
      </c>
      <c r="C256" s="3" t="inlineStr">
        <is>
          <t>Desk Lamp</t>
        </is>
      </c>
      <c r="D256" s="3" t="inlineStr">
        <is>
          <t>Furniture</t>
        </is>
      </c>
      <c r="E256" s="3" t="inlineStr">
        <is>
          <t>West</t>
        </is>
      </c>
      <c r="F256" s="3" t="n">
        <v>8</v>
      </c>
      <c r="G256" s="4" t="n">
        <v>1450</v>
      </c>
      <c r="H256" s="5" t="n">
        <v>0</v>
      </c>
      <c r="I256" s="4" t="n">
        <v>11600</v>
      </c>
      <c r="J256" s="4" t="n">
        <v>4872</v>
      </c>
      <c r="K256" s="4" t="n">
        <v>6728</v>
      </c>
      <c r="L256" s="3" t="inlineStr">
        <is>
          <t>Consumer</t>
        </is>
      </c>
    </row>
    <row r="257">
      <c r="A257" s="6" t="n">
        <v>45782</v>
      </c>
      <c r="B257" t="inlineStr">
        <is>
          <t>TH-0256</t>
        </is>
      </c>
      <c r="C257" t="inlineStr">
        <is>
          <t>Headphones</t>
        </is>
      </c>
      <c r="D257" t="inlineStr">
        <is>
          <t>Electronics</t>
        </is>
      </c>
      <c r="E257" t="inlineStr">
        <is>
          <t>North</t>
        </is>
      </c>
      <c r="F257" t="n">
        <v>3</v>
      </c>
      <c r="G257" s="7" t="n">
        <v>3200</v>
      </c>
      <c r="H257" s="8" t="n">
        <v>0.1</v>
      </c>
      <c r="I257" s="7" t="n">
        <v>8640</v>
      </c>
      <c r="J257" s="7" t="n">
        <v>5356.8</v>
      </c>
      <c r="K257" s="7" t="n">
        <v>3283.2</v>
      </c>
      <c r="L257" t="inlineStr">
        <is>
          <t>Corporate</t>
        </is>
      </c>
    </row>
    <row r="258">
      <c r="A258" s="2" t="n">
        <v>45816</v>
      </c>
      <c r="B258" s="3" t="inlineStr">
        <is>
          <t>TH-0257</t>
        </is>
      </c>
      <c r="C258" s="3" t="inlineStr">
        <is>
          <t>Desk Lamp</t>
        </is>
      </c>
      <c r="D258" s="3" t="inlineStr">
        <is>
          <t>Furniture</t>
        </is>
      </c>
      <c r="E258" s="3" t="inlineStr">
        <is>
          <t>South</t>
        </is>
      </c>
      <c r="F258" s="3" t="n">
        <v>2</v>
      </c>
      <c r="G258" s="4" t="n">
        <v>1450</v>
      </c>
      <c r="H258" s="5" t="n">
        <v>0.05</v>
      </c>
      <c r="I258" s="4" t="n">
        <v>2755</v>
      </c>
      <c r="J258" s="4" t="n">
        <v>1157.1</v>
      </c>
      <c r="K258" s="4" t="n">
        <v>1597.9</v>
      </c>
      <c r="L258" s="3" t="inlineStr">
        <is>
          <t>Consumer</t>
        </is>
      </c>
    </row>
    <row r="259">
      <c r="A259" s="6" t="n">
        <v>45919</v>
      </c>
      <c r="B259" t="inlineStr">
        <is>
          <t>TH-0258</t>
        </is>
      </c>
      <c r="C259" t="inlineStr">
        <is>
          <t>Printer</t>
        </is>
      </c>
      <c r="D259" t="inlineStr">
        <is>
          <t>Electronics</t>
        </is>
      </c>
      <c r="E259" t="inlineStr">
        <is>
          <t>South</t>
        </is>
      </c>
      <c r="F259" t="n">
        <v>1</v>
      </c>
      <c r="G259" s="7" t="n">
        <v>9800</v>
      </c>
      <c r="H259" s="8" t="n">
        <v>0.1</v>
      </c>
      <c r="I259" s="7" t="n">
        <v>8820</v>
      </c>
      <c r="J259" s="7" t="n">
        <v>5556.6</v>
      </c>
      <c r="K259" s="7" t="n">
        <v>3263.4</v>
      </c>
      <c r="L259" t="inlineStr">
        <is>
          <t>Corporate</t>
        </is>
      </c>
    </row>
    <row r="260">
      <c r="A260" s="2" t="n">
        <v>45837</v>
      </c>
      <c r="B260" s="3" t="inlineStr">
        <is>
          <t>TH-0259</t>
        </is>
      </c>
      <c r="C260" s="3" t="inlineStr">
        <is>
          <t>Desk Lamp</t>
        </is>
      </c>
      <c r="D260" s="3" t="inlineStr">
        <is>
          <t>Furniture</t>
        </is>
      </c>
      <c r="E260" s="3" t="inlineStr">
        <is>
          <t>South</t>
        </is>
      </c>
      <c r="F260" s="3" t="n">
        <v>8</v>
      </c>
      <c r="G260" s="4" t="n">
        <v>1450</v>
      </c>
      <c r="H260" s="5" t="n">
        <v>0.12</v>
      </c>
      <c r="I260" s="4" t="n">
        <v>10208</v>
      </c>
      <c r="J260" s="4" t="n">
        <v>4287.36</v>
      </c>
      <c r="K260" s="4" t="n">
        <v>5920.64</v>
      </c>
      <c r="L260" s="3" t="inlineStr">
        <is>
          <t>Consumer</t>
        </is>
      </c>
    </row>
    <row r="261">
      <c r="A261" s="6" t="n">
        <v>45710</v>
      </c>
      <c r="B261" t="inlineStr">
        <is>
          <t>TH-0260</t>
        </is>
      </c>
      <c r="C261" t="inlineStr">
        <is>
          <t>Keyboard</t>
        </is>
      </c>
      <c r="D261" t="inlineStr">
        <is>
          <t>Accessories</t>
        </is>
      </c>
      <c r="E261" t="inlineStr">
        <is>
          <t>South</t>
        </is>
      </c>
      <c r="F261" t="n">
        <v>2</v>
      </c>
      <c r="G261" s="7" t="n">
        <v>1600</v>
      </c>
      <c r="H261" s="8" t="n">
        <v>0.02</v>
      </c>
      <c r="I261" s="7" t="n">
        <v>3136</v>
      </c>
      <c r="J261" s="7" t="n">
        <v>1630.72</v>
      </c>
      <c r="K261" s="7" t="n">
        <v>1505.28</v>
      </c>
      <c r="L261" t="inlineStr">
        <is>
          <t>Small Business</t>
        </is>
      </c>
    </row>
    <row r="262">
      <c r="A262" s="2" t="n">
        <v>45696</v>
      </c>
      <c r="B262" s="3" t="inlineStr">
        <is>
          <t>TH-0261</t>
        </is>
      </c>
      <c r="C262" s="3" t="inlineStr">
        <is>
          <t>Keyboard</t>
        </is>
      </c>
      <c r="D262" s="3" t="inlineStr">
        <is>
          <t>Accessories</t>
        </is>
      </c>
      <c r="E262" s="3" t="inlineStr">
        <is>
          <t>West</t>
        </is>
      </c>
      <c r="F262" s="3" t="n">
        <v>8</v>
      </c>
      <c r="G262" s="4" t="n">
        <v>1600</v>
      </c>
      <c r="H262" s="5" t="n">
        <v>0.12</v>
      </c>
      <c r="I262" s="4" t="n">
        <v>11264</v>
      </c>
      <c r="J262" s="4" t="n">
        <v>5857.28</v>
      </c>
      <c r="K262" s="4" t="n">
        <v>5406.72</v>
      </c>
      <c r="L262" s="3" t="inlineStr">
        <is>
          <t>Corporate</t>
        </is>
      </c>
    </row>
    <row r="263">
      <c r="A263" s="6" t="n">
        <v>45946</v>
      </c>
      <c r="B263" t="inlineStr">
        <is>
          <t>TH-0262</t>
        </is>
      </c>
      <c r="C263" t="inlineStr">
        <is>
          <t>Notebook Pack</t>
        </is>
      </c>
      <c r="D263" t="inlineStr">
        <is>
          <t>Stationery</t>
        </is>
      </c>
      <c r="E263" t="inlineStr">
        <is>
          <t>East</t>
        </is>
      </c>
      <c r="F263" t="n">
        <v>3</v>
      </c>
      <c r="G263" s="7" t="n">
        <v>320</v>
      </c>
      <c r="H263" s="8" t="n">
        <v>0.1</v>
      </c>
      <c r="I263" s="7" t="n">
        <v>864</v>
      </c>
      <c r="J263" s="7" t="n">
        <v>302.4</v>
      </c>
      <c r="K263" s="7" t="n">
        <v>561.6</v>
      </c>
      <c r="L263" t="inlineStr">
        <is>
          <t>Small Business</t>
        </is>
      </c>
    </row>
    <row r="264">
      <c r="A264" s="2" t="n">
        <v>45819</v>
      </c>
      <c r="B264" s="3" t="inlineStr">
        <is>
          <t>TH-0263</t>
        </is>
      </c>
      <c r="C264" s="3" t="inlineStr">
        <is>
          <t>Keyboard</t>
        </is>
      </c>
      <c r="D264" s="3" t="inlineStr">
        <is>
          <t>Accessories</t>
        </is>
      </c>
      <c r="E264" s="3" t="inlineStr">
        <is>
          <t>West</t>
        </is>
      </c>
      <c r="F264" s="3" t="n">
        <v>3</v>
      </c>
      <c r="G264" s="4" t="n">
        <v>1600</v>
      </c>
      <c r="H264" s="5" t="n">
        <v>0.08</v>
      </c>
      <c r="I264" s="4" t="n">
        <v>4416</v>
      </c>
      <c r="J264" s="4" t="n">
        <v>2296.32</v>
      </c>
      <c r="K264" s="4" t="n">
        <v>2119.68</v>
      </c>
      <c r="L264" s="3" t="inlineStr">
        <is>
          <t>Small Business</t>
        </is>
      </c>
    </row>
    <row r="265">
      <c r="A265" s="6" t="n">
        <v>45813</v>
      </c>
      <c r="B265" t="inlineStr">
        <is>
          <t>TH-0264</t>
        </is>
      </c>
      <c r="C265" t="inlineStr">
        <is>
          <t>Office Chair</t>
        </is>
      </c>
      <c r="D265" t="inlineStr">
        <is>
          <t>Furniture</t>
        </is>
      </c>
      <c r="E265" t="inlineStr">
        <is>
          <t>North</t>
        </is>
      </c>
      <c r="F265" t="n">
        <v>3</v>
      </c>
      <c r="G265" s="7" t="n">
        <v>7800</v>
      </c>
      <c r="H265" s="8" t="n">
        <v>0.05</v>
      </c>
      <c r="I265" s="7" t="n">
        <v>22230</v>
      </c>
      <c r="J265" s="7" t="n">
        <v>12893.4</v>
      </c>
      <c r="K265" s="7" t="n">
        <v>9336.6</v>
      </c>
      <c r="L265" t="inlineStr">
        <is>
          <t>Corporate</t>
        </is>
      </c>
    </row>
    <row r="266">
      <c r="A266" s="2" t="n">
        <v>45894</v>
      </c>
      <c r="B266" s="3" t="inlineStr">
        <is>
          <t>TH-0265</t>
        </is>
      </c>
      <c r="C266" s="3" t="inlineStr">
        <is>
          <t>USB-C Hub</t>
        </is>
      </c>
      <c r="D266" s="3" t="inlineStr">
        <is>
          <t>Accessories</t>
        </is>
      </c>
      <c r="E266" s="3" t="inlineStr">
        <is>
          <t>East</t>
        </is>
      </c>
      <c r="F266" s="3" t="n">
        <v>1</v>
      </c>
      <c r="G266" s="4" t="n">
        <v>2400</v>
      </c>
      <c r="H266" s="5" t="n">
        <v>0.05</v>
      </c>
      <c r="I266" s="4" t="n">
        <v>2280</v>
      </c>
      <c r="J266" s="4" t="n">
        <v>1026</v>
      </c>
      <c r="K266" s="4" t="n">
        <v>1254</v>
      </c>
      <c r="L266" s="3" t="inlineStr">
        <is>
          <t>Consumer</t>
        </is>
      </c>
    </row>
    <row r="267">
      <c r="A267" s="6" t="n">
        <v>45988</v>
      </c>
      <c r="B267" t="inlineStr">
        <is>
          <t>TH-0266</t>
        </is>
      </c>
      <c r="C267" t="inlineStr">
        <is>
          <t>Wireless Mouse</t>
        </is>
      </c>
      <c r="D267" t="inlineStr">
        <is>
          <t>Accessories</t>
        </is>
      </c>
      <c r="E267" t="inlineStr">
        <is>
          <t>West</t>
        </is>
      </c>
      <c r="F267" t="n">
        <v>4</v>
      </c>
      <c r="G267" s="7" t="n">
        <v>850</v>
      </c>
      <c r="H267" s="8" t="n">
        <v>0.1</v>
      </c>
      <c r="I267" s="7" t="n">
        <v>3060</v>
      </c>
      <c r="J267" s="7" t="n">
        <v>1468.8</v>
      </c>
      <c r="K267" s="7" t="n">
        <v>1591.2</v>
      </c>
      <c r="L267" t="inlineStr">
        <is>
          <t>Corporate</t>
        </is>
      </c>
    </row>
    <row r="268">
      <c r="A268" s="2" t="n">
        <v>45955</v>
      </c>
      <c r="B268" s="3" t="inlineStr">
        <is>
          <t>TH-0267</t>
        </is>
      </c>
      <c r="C268" s="3" t="inlineStr">
        <is>
          <t>Webcam</t>
        </is>
      </c>
      <c r="D268" s="3" t="inlineStr">
        <is>
          <t>Electronics</t>
        </is>
      </c>
      <c r="E268" s="3" t="inlineStr">
        <is>
          <t>North</t>
        </is>
      </c>
      <c r="F268" s="3" t="n">
        <v>8</v>
      </c>
      <c r="G268" s="4" t="n">
        <v>4100</v>
      </c>
      <c r="H268" s="5" t="n">
        <v>0.12</v>
      </c>
      <c r="I268" s="4" t="n">
        <v>28864</v>
      </c>
      <c r="J268" s="4" t="n">
        <v>17318.4</v>
      </c>
      <c r="K268" s="4" t="n">
        <v>11545.6</v>
      </c>
      <c r="L268" s="3" t="inlineStr">
        <is>
          <t>Corporate</t>
        </is>
      </c>
    </row>
    <row r="269">
      <c r="A269" s="6" t="n">
        <v>45950</v>
      </c>
      <c r="B269" t="inlineStr">
        <is>
          <t>TH-0268</t>
        </is>
      </c>
      <c r="C269" t="inlineStr">
        <is>
          <t>Printer</t>
        </is>
      </c>
      <c r="D269" t="inlineStr">
        <is>
          <t>Electronics</t>
        </is>
      </c>
      <c r="E269" t="inlineStr">
        <is>
          <t>West</t>
        </is>
      </c>
      <c r="F269" t="n">
        <v>1</v>
      </c>
      <c r="G269" s="7" t="n">
        <v>9800</v>
      </c>
      <c r="H269" s="8" t="n">
        <v>0.1</v>
      </c>
      <c r="I269" s="7" t="n">
        <v>8820</v>
      </c>
      <c r="J269" s="7" t="n">
        <v>5556.6</v>
      </c>
      <c r="K269" s="7" t="n">
        <v>3263.4</v>
      </c>
      <c r="L269" t="inlineStr">
        <is>
          <t>Small Business</t>
        </is>
      </c>
    </row>
    <row r="270">
      <c r="A270" s="2" t="n">
        <v>45735</v>
      </c>
      <c r="B270" s="3" t="inlineStr">
        <is>
          <t>TH-0269</t>
        </is>
      </c>
      <c r="C270" s="3" t="inlineStr">
        <is>
          <t>Laptop</t>
        </is>
      </c>
      <c r="D270" s="3" t="inlineStr">
        <is>
          <t>Electronics</t>
        </is>
      </c>
      <c r="E270" s="3" t="inlineStr">
        <is>
          <t>East</t>
        </is>
      </c>
      <c r="F270" s="3" t="n">
        <v>3</v>
      </c>
      <c r="G270" s="4" t="n">
        <v>42000</v>
      </c>
      <c r="H270" s="5" t="n">
        <v>0.15</v>
      </c>
      <c r="I270" s="4" t="n">
        <v>107100</v>
      </c>
      <c r="J270" s="4" t="n">
        <v>77112</v>
      </c>
      <c r="K270" s="4" t="n">
        <v>29988</v>
      </c>
      <c r="L270" s="3" t="inlineStr">
        <is>
          <t>Small Business</t>
        </is>
      </c>
    </row>
    <row r="271">
      <c r="A271" s="6" t="n">
        <v>45701</v>
      </c>
      <c r="B271" t="inlineStr">
        <is>
          <t>TH-0270</t>
        </is>
      </c>
      <c r="C271" t="inlineStr">
        <is>
          <t>Webcam</t>
        </is>
      </c>
      <c r="D271" t="inlineStr">
        <is>
          <t>Electronics</t>
        </is>
      </c>
      <c r="E271" t="inlineStr">
        <is>
          <t>South</t>
        </is>
      </c>
      <c r="F271" t="n">
        <v>4</v>
      </c>
      <c r="G271" s="7" t="n">
        <v>4100</v>
      </c>
      <c r="H271" s="8" t="n">
        <v>0</v>
      </c>
      <c r="I271" s="7" t="n">
        <v>16400</v>
      </c>
      <c r="J271" s="7" t="n">
        <v>9840</v>
      </c>
      <c r="K271" s="7" t="n">
        <v>6560</v>
      </c>
      <c r="L271" t="inlineStr">
        <is>
          <t>Small Business</t>
        </is>
      </c>
    </row>
    <row r="272">
      <c r="A272" s="2" t="n">
        <v>45882</v>
      </c>
      <c r="B272" s="3" t="inlineStr">
        <is>
          <t>TH-0271</t>
        </is>
      </c>
      <c r="C272" s="3" t="inlineStr">
        <is>
          <t>USB-C Hub</t>
        </is>
      </c>
      <c r="D272" s="3" t="inlineStr">
        <is>
          <t>Accessories</t>
        </is>
      </c>
      <c r="E272" s="3" t="inlineStr">
        <is>
          <t>South</t>
        </is>
      </c>
      <c r="F272" s="3" t="n">
        <v>3</v>
      </c>
      <c r="G272" s="4" t="n">
        <v>2400</v>
      </c>
      <c r="H272" s="5" t="n">
        <v>0.1</v>
      </c>
      <c r="I272" s="4" t="n">
        <v>6480</v>
      </c>
      <c r="J272" s="4" t="n">
        <v>2916</v>
      </c>
      <c r="K272" s="4" t="n">
        <v>3564</v>
      </c>
      <c r="L272" s="3" t="inlineStr">
        <is>
          <t>Corporate</t>
        </is>
      </c>
    </row>
    <row r="273">
      <c r="A273" s="6" t="n">
        <v>45848</v>
      </c>
      <c r="B273" t="inlineStr">
        <is>
          <t>TH-0272</t>
        </is>
      </c>
      <c r="C273" t="inlineStr">
        <is>
          <t>Office Chair</t>
        </is>
      </c>
      <c r="D273" t="inlineStr">
        <is>
          <t>Furniture</t>
        </is>
      </c>
      <c r="E273" t="inlineStr">
        <is>
          <t>East</t>
        </is>
      </c>
      <c r="F273" t="n">
        <v>2</v>
      </c>
      <c r="G273" s="7" t="n">
        <v>7800</v>
      </c>
      <c r="H273" s="8" t="n">
        <v>0.15</v>
      </c>
      <c r="I273" s="7" t="n">
        <v>13260</v>
      </c>
      <c r="J273" s="7" t="n">
        <v>7690.8</v>
      </c>
      <c r="K273" s="7" t="n">
        <v>5569.2</v>
      </c>
      <c r="L273" t="inlineStr">
        <is>
          <t>Small Business</t>
        </is>
      </c>
    </row>
    <row r="274">
      <c r="A274" s="2" t="n">
        <v>45964</v>
      </c>
      <c r="B274" s="3" t="inlineStr">
        <is>
          <t>TH-0273</t>
        </is>
      </c>
      <c r="C274" s="3" t="inlineStr">
        <is>
          <t>Laptop</t>
        </is>
      </c>
      <c r="D274" s="3" t="inlineStr">
        <is>
          <t>Electronics</t>
        </is>
      </c>
      <c r="E274" s="3" t="inlineStr">
        <is>
          <t>East</t>
        </is>
      </c>
      <c r="F274" s="3" t="n">
        <v>5</v>
      </c>
      <c r="G274" s="4" t="n">
        <v>42000</v>
      </c>
      <c r="H274" s="5" t="n">
        <v>0.12</v>
      </c>
      <c r="I274" s="4" t="n">
        <v>184800</v>
      </c>
      <c r="J274" s="4" t="n">
        <v>133056</v>
      </c>
      <c r="K274" s="4" t="n">
        <v>51744</v>
      </c>
      <c r="L274" s="3" t="inlineStr">
        <is>
          <t>Consumer</t>
        </is>
      </c>
    </row>
    <row r="275">
      <c r="A275" s="6" t="n">
        <v>45826</v>
      </c>
      <c r="B275" t="inlineStr">
        <is>
          <t>TH-0274</t>
        </is>
      </c>
      <c r="C275" t="inlineStr">
        <is>
          <t>Wireless Mouse</t>
        </is>
      </c>
      <c r="D275" t="inlineStr">
        <is>
          <t>Accessories</t>
        </is>
      </c>
      <c r="E275" t="inlineStr">
        <is>
          <t>East</t>
        </is>
      </c>
      <c r="F275" t="n">
        <v>3</v>
      </c>
      <c r="G275" s="7" t="n">
        <v>850</v>
      </c>
      <c r="H275" s="8" t="n">
        <v>0.08</v>
      </c>
      <c r="I275" s="7" t="n">
        <v>2346</v>
      </c>
      <c r="J275" s="7" t="n">
        <v>1126.08</v>
      </c>
      <c r="K275" s="7" t="n">
        <v>1219.92</v>
      </c>
      <c r="L275" t="inlineStr">
        <is>
          <t>Corporate</t>
        </is>
      </c>
    </row>
    <row r="276">
      <c r="A276" s="2" t="n">
        <v>45994</v>
      </c>
      <c r="B276" s="3" t="inlineStr">
        <is>
          <t>TH-0275</t>
        </is>
      </c>
      <c r="C276" s="3" t="inlineStr">
        <is>
          <t>Notebook Pack</t>
        </is>
      </c>
      <c r="D276" s="3" t="inlineStr">
        <is>
          <t>Stationery</t>
        </is>
      </c>
      <c r="E276" s="3" t="inlineStr">
        <is>
          <t>North</t>
        </is>
      </c>
      <c r="F276" s="3" t="n">
        <v>6</v>
      </c>
      <c r="G276" s="4" t="n">
        <v>320</v>
      </c>
      <c r="H276" s="5" t="n">
        <v>0.05</v>
      </c>
      <c r="I276" s="4" t="n">
        <v>1824</v>
      </c>
      <c r="J276" s="4" t="n">
        <v>638.4</v>
      </c>
      <c r="K276" s="4" t="n">
        <v>1185.6</v>
      </c>
      <c r="L276" s="3" t="inlineStr">
        <is>
          <t>Small Business</t>
        </is>
      </c>
    </row>
    <row r="277">
      <c r="A277" s="6" t="n">
        <v>45997</v>
      </c>
      <c r="B277" t="inlineStr">
        <is>
          <t>TH-0276</t>
        </is>
      </c>
      <c r="C277" t="inlineStr">
        <is>
          <t>Keyboard</t>
        </is>
      </c>
      <c r="D277" t="inlineStr">
        <is>
          <t>Accessories</t>
        </is>
      </c>
      <c r="E277" t="inlineStr">
        <is>
          <t>West</t>
        </is>
      </c>
      <c r="F277" t="n">
        <v>8</v>
      </c>
      <c r="G277" s="7" t="n">
        <v>1600</v>
      </c>
      <c r="H277" s="8" t="n">
        <v>0.05</v>
      </c>
      <c r="I277" s="7" t="n">
        <v>12160</v>
      </c>
      <c r="J277" s="7" t="n">
        <v>6323.2</v>
      </c>
      <c r="K277" s="7" t="n">
        <v>5836.8</v>
      </c>
      <c r="L277" t="inlineStr">
        <is>
          <t>Consumer</t>
        </is>
      </c>
    </row>
    <row r="278">
      <c r="A278" s="2" t="n">
        <v>45962</v>
      </c>
      <c r="B278" s="3" t="inlineStr">
        <is>
          <t>TH-0277</t>
        </is>
      </c>
      <c r="C278" s="3" t="inlineStr">
        <is>
          <t>Desk Lamp</t>
        </is>
      </c>
      <c r="D278" s="3" t="inlineStr">
        <is>
          <t>Furniture</t>
        </is>
      </c>
      <c r="E278" s="3" t="inlineStr">
        <is>
          <t>West</t>
        </is>
      </c>
      <c r="F278" s="3" t="n">
        <v>8</v>
      </c>
      <c r="G278" s="4" t="n">
        <v>1450</v>
      </c>
      <c r="H278" s="5" t="n">
        <v>0.05</v>
      </c>
      <c r="I278" s="4" t="n">
        <v>11020</v>
      </c>
      <c r="J278" s="4" t="n">
        <v>4628.4</v>
      </c>
      <c r="K278" s="4" t="n">
        <v>6391.6</v>
      </c>
      <c r="L278" s="3" t="inlineStr">
        <is>
          <t>Small Business</t>
        </is>
      </c>
    </row>
    <row r="279">
      <c r="A279" s="6" t="n">
        <v>45826</v>
      </c>
      <c r="B279" t="inlineStr">
        <is>
          <t>TH-0278</t>
        </is>
      </c>
      <c r="C279" t="inlineStr">
        <is>
          <t>Keyboard</t>
        </is>
      </c>
      <c r="D279" t="inlineStr">
        <is>
          <t>Accessories</t>
        </is>
      </c>
      <c r="E279" t="inlineStr">
        <is>
          <t>North</t>
        </is>
      </c>
      <c r="F279" t="n">
        <v>4</v>
      </c>
      <c r="G279" s="7" t="n">
        <v>1600</v>
      </c>
      <c r="H279" s="8" t="n">
        <v>0.15</v>
      </c>
      <c r="I279" s="7" t="n">
        <v>5440</v>
      </c>
      <c r="J279" s="7" t="n">
        <v>2828.8</v>
      </c>
      <c r="K279" s="7" t="n">
        <v>2611.2</v>
      </c>
      <c r="L279" t="inlineStr">
        <is>
          <t>Small Business</t>
        </is>
      </c>
    </row>
    <row r="280">
      <c r="A280" s="2" t="n">
        <v>46001</v>
      </c>
      <c r="B280" s="3" t="inlineStr">
        <is>
          <t>TH-0279</t>
        </is>
      </c>
      <c r="C280" s="3" t="inlineStr">
        <is>
          <t>Headphones</t>
        </is>
      </c>
      <c r="D280" s="3" t="inlineStr">
        <is>
          <t>Electronics</t>
        </is>
      </c>
      <c r="E280" s="3" t="inlineStr">
        <is>
          <t>East</t>
        </is>
      </c>
      <c r="F280" s="3" t="n">
        <v>3</v>
      </c>
      <c r="G280" s="4" t="n">
        <v>3200</v>
      </c>
      <c r="H280" s="5" t="n">
        <v>0</v>
      </c>
      <c r="I280" s="4" t="n">
        <v>9600</v>
      </c>
      <c r="J280" s="4" t="n">
        <v>5952</v>
      </c>
      <c r="K280" s="4" t="n">
        <v>3648</v>
      </c>
      <c r="L280" s="3" t="inlineStr">
        <is>
          <t>Corporate</t>
        </is>
      </c>
    </row>
    <row r="281">
      <c r="A281" s="6" t="n">
        <v>45750</v>
      </c>
      <c r="B281" t="inlineStr">
        <is>
          <t>TH-0280</t>
        </is>
      </c>
      <c r="C281" t="inlineStr">
        <is>
          <t>Monitor</t>
        </is>
      </c>
      <c r="D281" t="inlineStr">
        <is>
          <t>Electronics</t>
        </is>
      </c>
      <c r="E281" t="inlineStr">
        <is>
          <t>West</t>
        </is>
      </c>
      <c r="F281" t="n">
        <v>2</v>
      </c>
      <c r="G281" s="7" t="n">
        <v>12500</v>
      </c>
      <c r="H281" s="8" t="n">
        <v>0.15</v>
      </c>
      <c r="I281" s="7" t="n">
        <v>21250</v>
      </c>
      <c r="J281" s="7" t="n">
        <v>14237.5</v>
      </c>
      <c r="K281" s="7" t="n">
        <v>7012.5</v>
      </c>
      <c r="L281" t="inlineStr">
        <is>
          <t>Consumer</t>
        </is>
      </c>
    </row>
    <row r="282">
      <c r="A282" s="2" t="n">
        <v>45773</v>
      </c>
      <c r="B282" s="3" t="inlineStr">
        <is>
          <t>TH-0281</t>
        </is>
      </c>
      <c r="C282" s="3" t="inlineStr">
        <is>
          <t>Keyboard</t>
        </is>
      </c>
      <c r="D282" s="3" t="inlineStr">
        <is>
          <t>Accessories</t>
        </is>
      </c>
      <c r="E282" s="3" t="inlineStr">
        <is>
          <t>North</t>
        </is>
      </c>
      <c r="F282" s="3" t="n">
        <v>1</v>
      </c>
      <c r="G282" s="4" t="n">
        <v>1600</v>
      </c>
      <c r="H282" s="5" t="n">
        <v>0.05</v>
      </c>
      <c r="I282" s="4" t="n">
        <v>1520</v>
      </c>
      <c r="J282" s="4" t="n">
        <v>790.4</v>
      </c>
      <c r="K282" s="4" t="n">
        <v>729.6</v>
      </c>
      <c r="L282" s="3" t="inlineStr">
        <is>
          <t>Small Business</t>
        </is>
      </c>
    </row>
    <row r="283">
      <c r="A283" s="6" t="n">
        <v>45934</v>
      </c>
      <c r="B283" t="inlineStr">
        <is>
          <t>TH-0282</t>
        </is>
      </c>
      <c r="C283" t="inlineStr">
        <is>
          <t>Desk Lamp</t>
        </is>
      </c>
      <c r="D283" t="inlineStr">
        <is>
          <t>Furniture</t>
        </is>
      </c>
      <c r="E283" t="inlineStr">
        <is>
          <t>East</t>
        </is>
      </c>
      <c r="F283" t="n">
        <v>6</v>
      </c>
      <c r="G283" s="7" t="n">
        <v>1450</v>
      </c>
      <c r="H283" s="8" t="n">
        <v>0</v>
      </c>
      <c r="I283" s="7" t="n">
        <v>8700</v>
      </c>
      <c r="J283" s="7" t="n">
        <v>3654</v>
      </c>
      <c r="K283" s="7" t="n">
        <v>5046</v>
      </c>
      <c r="L283" t="inlineStr">
        <is>
          <t>Small Business</t>
        </is>
      </c>
    </row>
    <row r="284">
      <c r="A284" s="2" t="n">
        <v>45725</v>
      </c>
      <c r="B284" s="3" t="inlineStr">
        <is>
          <t>TH-0283</t>
        </is>
      </c>
      <c r="C284" s="3" t="inlineStr">
        <is>
          <t>Notebook Pack</t>
        </is>
      </c>
      <c r="D284" s="3" t="inlineStr">
        <is>
          <t>Stationery</t>
        </is>
      </c>
      <c r="E284" s="3" t="inlineStr">
        <is>
          <t>South</t>
        </is>
      </c>
      <c r="F284" s="3" t="n">
        <v>2</v>
      </c>
      <c r="G284" s="4" t="n">
        <v>320</v>
      </c>
      <c r="H284" s="5" t="n">
        <v>0.02</v>
      </c>
      <c r="I284" s="4" t="n">
        <v>627.2</v>
      </c>
      <c r="J284" s="4" t="n">
        <v>219.52</v>
      </c>
      <c r="K284" s="4" t="n">
        <v>407.68</v>
      </c>
      <c r="L284" s="3" t="inlineStr">
        <is>
          <t>Small Business</t>
        </is>
      </c>
    </row>
    <row r="285">
      <c r="A285" s="6" t="n">
        <v>45977</v>
      </c>
      <c r="B285" t="inlineStr">
        <is>
          <t>TH-0284</t>
        </is>
      </c>
      <c r="C285" t="inlineStr">
        <is>
          <t>Keyboard</t>
        </is>
      </c>
      <c r="D285" t="inlineStr">
        <is>
          <t>Accessories</t>
        </is>
      </c>
      <c r="E285" t="inlineStr">
        <is>
          <t>West</t>
        </is>
      </c>
      <c r="F285" t="n">
        <v>4</v>
      </c>
      <c r="G285" s="7" t="n">
        <v>1600</v>
      </c>
      <c r="H285" s="8" t="n">
        <v>0</v>
      </c>
      <c r="I285" s="7" t="n">
        <v>6400</v>
      </c>
      <c r="J285" s="7" t="n">
        <v>3328</v>
      </c>
      <c r="K285" s="7" t="n">
        <v>3072</v>
      </c>
      <c r="L285" t="inlineStr">
        <is>
          <t>Corporate</t>
        </is>
      </c>
    </row>
    <row r="286">
      <c r="A286" s="2" t="n">
        <v>46004</v>
      </c>
      <c r="B286" s="3" t="inlineStr">
        <is>
          <t>TH-0285</t>
        </is>
      </c>
      <c r="C286" s="3" t="inlineStr">
        <is>
          <t>Desk Lamp</t>
        </is>
      </c>
      <c r="D286" s="3" t="inlineStr">
        <is>
          <t>Furniture</t>
        </is>
      </c>
      <c r="E286" s="3" t="inlineStr">
        <is>
          <t>East</t>
        </is>
      </c>
      <c r="F286" s="3" t="n">
        <v>2</v>
      </c>
      <c r="G286" s="4" t="n">
        <v>1450</v>
      </c>
      <c r="H286" s="5" t="n">
        <v>0.08</v>
      </c>
      <c r="I286" s="4" t="n">
        <v>2668</v>
      </c>
      <c r="J286" s="4" t="n">
        <v>1120.56</v>
      </c>
      <c r="K286" s="4" t="n">
        <v>1547.44</v>
      </c>
      <c r="L286" s="3" t="inlineStr">
        <is>
          <t>Small Business</t>
        </is>
      </c>
    </row>
    <row r="287">
      <c r="A287" s="6" t="n">
        <v>45887</v>
      </c>
      <c r="B287" t="inlineStr">
        <is>
          <t>TH-0286</t>
        </is>
      </c>
      <c r="C287" t="inlineStr">
        <is>
          <t>Monitor</t>
        </is>
      </c>
      <c r="D287" t="inlineStr">
        <is>
          <t>Electronics</t>
        </is>
      </c>
      <c r="E287" t="inlineStr">
        <is>
          <t>West</t>
        </is>
      </c>
      <c r="F287" t="n">
        <v>3</v>
      </c>
      <c r="G287" s="7" t="n">
        <v>12500</v>
      </c>
      <c r="H287" s="8" t="n">
        <v>0.05</v>
      </c>
      <c r="I287" s="7" t="n">
        <v>35625</v>
      </c>
      <c r="J287" s="7" t="n">
        <v>23868.75</v>
      </c>
      <c r="K287" s="7" t="n">
        <v>11756.25</v>
      </c>
      <c r="L287" t="inlineStr">
        <is>
          <t>Consumer</t>
        </is>
      </c>
    </row>
    <row r="288">
      <c r="A288" s="2" t="n">
        <v>45846</v>
      </c>
      <c r="B288" s="3" t="inlineStr">
        <is>
          <t>TH-0287</t>
        </is>
      </c>
      <c r="C288" s="3" t="inlineStr">
        <is>
          <t>Printer</t>
        </is>
      </c>
      <c r="D288" s="3" t="inlineStr">
        <is>
          <t>Electronics</t>
        </is>
      </c>
      <c r="E288" s="3" t="inlineStr">
        <is>
          <t>West</t>
        </is>
      </c>
      <c r="F288" s="3" t="n">
        <v>8</v>
      </c>
      <c r="G288" s="4" t="n">
        <v>9800</v>
      </c>
      <c r="H288" s="5" t="n">
        <v>0.08</v>
      </c>
      <c r="I288" s="4" t="n">
        <v>72128</v>
      </c>
      <c r="J288" s="4" t="n">
        <v>45440.64</v>
      </c>
      <c r="K288" s="4" t="n">
        <v>26687.36</v>
      </c>
      <c r="L288" s="3" t="inlineStr">
        <is>
          <t>Corporate</t>
        </is>
      </c>
    </row>
    <row r="289">
      <c r="A289" s="6" t="n">
        <v>45853</v>
      </c>
      <c r="B289" t="inlineStr">
        <is>
          <t>TH-0288</t>
        </is>
      </c>
      <c r="C289" t="inlineStr">
        <is>
          <t>Webcam</t>
        </is>
      </c>
      <c r="D289" t="inlineStr">
        <is>
          <t>Electronics</t>
        </is>
      </c>
      <c r="E289" t="inlineStr">
        <is>
          <t>South</t>
        </is>
      </c>
      <c r="F289" t="n">
        <v>3</v>
      </c>
      <c r="G289" s="7" t="n">
        <v>4100</v>
      </c>
      <c r="H289" s="8" t="n">
        <v>0.02</v>
      </c>
      <c r="I289" s="7" t="n">
        <v>12054</v>
      </c>
      <c r="J289" s="7" t="n">
        <v>7232.4</v>
      </c>
      <c r="K289" s="7" t="n">
        <v>4821.6</v>
      </c>
      <c r="L289" t="inlineStr">
        <is>
          <t>Small Business</t>
        </is>
      </c>
    </row>
    <row r="290">
      <c r="A290" s="2" t="n">
        <v>45728</v>
      </c>
      <c r="B290" s="3" t="inlineStr">
        <is>
          <t>TH-0289</t>
        </is>
      </c>
      <c r="C290" s="3" t="inlineStr">
        <is>
          <t>Office Chair</t>
        </is>
      </c>
      <c r="D290" s="3" t="inlineStr">
        <is>
          <t>Furniture</t>
        </is>
      </c>
      <c r="E290" s="3" t="inlineStr">
        <is>
          <t>East</t>
        </is>
      </c>
      <c r="F290" s="3" t="n">
        <v>1</v>
      </c>
      <c r="G290" s="4" t="n">
        <v>7800</v>
      </c>
      <c r="H290" s="5" t="n">
        <v>0.08</v>
      </c>
      <c r="I290" s="4" t="n">
        <v>7176</v>
      </c>
      <c r="J290" s="4" t="n">
        <v>4162.08</v>
      </c>
      <c r="K290" s="4" t="n">
        <v>3013.92</v>
      </c>
      <c r="L290" s="3" t="inlineStr">
        <is>
          <t>Small Business</t>
        </is>
      </c>
    </row>
    <row r="291">
      <c r="A291" s="6" t="n">
        <v>45710</v>
      </c>
      <c r="B291" t="inlineStr">
        <is>
          <t>TH-0290</t>
        </is>
      </c>
      <c r="C291" t="inlineStr">
        <is>
          <t>Desk Lamp</t>
        </is>
      </c>
      <c r="D291" t="inlineStr">
        <is>
          <t>Furniture</t>
        </is>
      </c>
      <c r="E291" t="inlineStr">
        <is>
          <t>North</t>
        </is>
      </c>
      <c r="F291" t="n">
        <v>6</v>
      </c>
      <c r="G291" s="7" t="n">
        <v>1450</v>
      </c>
      <c r="H291" s="8" t="n">
        <v>0.15</v>
      </c>
      <c r="I291" s="7" t="n">
        <v>7395</v>
      </c>
      <c r="J291" s="7" t="n">
        <v>3105.9</v>
      </c>
      <c r="K291" s="7" t="n">
        <v>4289.1</v>
      </c>
      <c r="L291" t="inlineStr">
        <is>
          <t>Corporate</t>
        </is>
      </c>
    </row>
    <row r="292">
      <c r="A292" s="2" t="n">
        <v>45700</v>
      </c>
      <c r="B292" s="3" t="inlineStr">
        <is>
          <t>TH-0291</t>
        </is>
      </c>
      <c r="C292" s="3" t="inlineStr">
        <is>
          <t>Keyboard</t>
        </is>
      </c>
      <c r="D292" s="3" t="inlineStr">
        <is>
          <t>Accessories</t>
        </is>
      </c>
      <c r="E292" s="3" t="inlineStr">
        <is>
          <t>South</t>
        </is>
      </c>
      <c r="F292" s="3" t="n">
        <v>2</v>
      </c>
      <c r="G292" s="4" t="n">
        <v>1600</v>
      </c>
      <c r="H292" s="5" t="n">
        <v>0.1</v>
      </c>
      <c r="I292" s="4" t="n">
        <v>2880</v>
      </c>
      <c r="J292" s="4" t="n">
        <v>1497.6</v>
      </c>
      <c r="K292" s="4" t="n">
        <v>1382.4</v>
      </c>
      <c r="L292" s="3" t="inlineStr">
        <is>
          <t>Corporate</t>
        </is>
      </c>
    </row>
    <row r="293">
      <c r="A293" s="6" t="n">
        <v>45704</v>
      </c>
      <c r="B293" t="inlineStr">
        <is>
          <t>TH-0292</t>
        </is>
      </c>
      <c r="C293" t="inlineStr">
        <is>
          <t>Monitor</t>
        </is>
      </c>
      <c r="D293" t="inlineStr">
        <is>
          <t>Electronics</t>
        </is>
      </c>
      <c r="E293" t="inlineStr">
        <is>
          <t>North</t>
        </is>
      </c>
      <c r="F293" t="n">
        <v>5</v>
      </c>
      <c r="G293" s="7" t="n">
        <v>12500</v>
      </c>
      <c r="H293" s="8" t="n">
        <v>0.05</v>
      </c>
      <c r="I293" s="7" t="n">
        <v>59375</v>
      </c>
      <c r="J293" s="7" t="n">
        <v>39781.25</v>
      </c>
      <c r="K293" s="7" t="n">
        <v>19593.75</v>
      </c>
      <c r="L293" t="inlineStr">
        <is>
          <t>Corporate</t>
        </is>
      </c>
    </row>
    <row r="294">
      <c r="A294" s="2" t="n">
        <v>45685</v>
      </c>
      <c r="B294" s="3" t="inlineStr">
        <is>
          <t>TH-0293</t>
        </is>
      </c>
      <c r="C294" s="3" t="inlineStr">
        <is>
          <t>Headphones</t>
        </is>
      </c>
      <c r="D294" s="3" t="inlineStr">
        <is>
          <t>Electronics</t>
        </is>
      </c>
      <c r="E294" s="3" t="inlineStr">
        <is>
          <t>West</t>
        </is>
      </c>
      <c r="F294" s="3" t="n">
        <v>3</v>
      </c>
      <c r="G294" s="4" t="n">
        <v>3200</v>
      </c>
      <c r="H294" s="5" t="n">
        <v>0.02</v>
      </c>
      <c r="I294" s="4" t="n">
        <v>9408</v>
      </c>
      <c r="J294" s="4" t="n">
        <v>5832.96</v>
      </c>
      <c r="K294" s="4" t="n">
        <v>3575.04</v>
      </c>
      <c r="L294" s="3" t="inlineStr">
        <is>
          <t>Consumer</t>
        </is>
      </c>
    </row>
    <row r="295">
      <c r="A295" s="6" t="n">
        <v>45849</v>
      </c>
      <c r="B295" t="inlineStr">
        <is>
          <t>TH-0294</t>
        </is>
      </c>
      <c r="C295" t="inlineStr">
        <is>
          <t>Monitor</t>
        </is>
      </c>
      <c r="D295" t="inlineStr">
        <is>
          <t>Electronics</t>
        </is>
      </c>
      <c r="E295" t="inlineStr">
        <is>
          <t>East</t>
        </is>
      </c>
      <c r="F295" t="n">
        <v>1</v>
      </c>
      <c r="G295" s="7" t="n">
        <v>12500</v>
      </c>
      <c r="H295" s="8" t="n">
        <v>0</v>
      </c>
      <c r="I295" s="7" t="n">
        <v>12500</v>
      </c>
      <c r="J295" s="7" t="n">
        <v>8375</v>
      </c>
      <c r="K295" s="7" t="n">
        <v>4125</v>
      </c>
      <c r="L295" t="inlineStr">
        <is>
          <t>Consumer</t>
        </is>
      </c>
    </row>
    <row r="296">
      <c r="A296" s="2" t="n">
        <v>45728</v>
      </c>
      <c r="B296" s="3" t="inlineStr">
        <is>
          <t>TH-0295</t>
        </is>
      </c>
      <c r="C296" s="3" t="inlineStr">
        <is>
          <t>Laptop</t>
        </is>
      </c>
      <c r="D296" s="3" t="inlineStr">
        <is>
          <t>Electronics</t>
        </is>
      </c>
      <c r="E296" s="3" t="inlineStr">
        <is>
          <t>West</t>
        </is>
      </c>
      <c r="F296" s="3" t="n">
        <v>2</v>
      </c>
      <c r="G296" s="4" t="n">
        <v>42000</v>
      </c>
      <c r="H296" s="5" t="n">
        <v>0.15</v>
      </c>
      <c r="I296" s="4" t="n">
        <v>71400</v>
      </c>
      <c r="J296" s="4" t="n">
        <v>51408</v>
      </c>
      <c r="K296" s="4" t="n">
        <v>19992</v>
      </c>
      <c r="L296" s="3" t="inlineStr">
        <is>
          <t>Small Business</t>
        </is>
      </c>
    </row>
    <row r="297">
      <c r="A297" s="6" t="n">
        <v>45729</v>
      </c>
      <c r="B297" t="inlineStr">
        <is>
          <t>TH-0296</t>
        </is>
      </c>
      <c r="C297" t="inlineStr">
        <is>
          <t>Desk Lamp</t>
        </is>
      </c>
      <c r="D297" t="inlineStr">
        <is>
          <t>Furniture</t>
        </is>
      </c>
      <c r="E297" t="inlineStr">
        <is>
          <t>North</t>
        </is>
      </c>
      <c r="F297" t="n">
        <v>3</v>
      </c>
      <c r="G297" s="7" t="n">
        <v>1450</v>
      </c>
      <c r="H297" s="8" t="n">
        <v>0.1</v>
      </c>
      <c r="I297" s="7" t="n">
        <v>3915</v>
      </c>
      <c r="J297" s="7" t="n">
        <v>1644.3</v>
      </c>
      <c r="K297" s="7" t="n">
        <v>2270.7</v>
      </c>
      <c r="L297" t="inlineStr">
        <is>
          <t>Consumer</t>
        </is>
      </c>
    </row>
    <row r="298">
      <c r="A298" s="2" t="n">
        <v>45667</v>
      </c>
      <c r="B298" s="3" t="inlineStr">
        <is>
          <t>TH-0297</t>
        </is>
      </c>
      <c r="C298" s="3" t="inlineStr">
        <is>
          <t>Office Chair</t>
        </is>
      </c>
      <c r="D298" s="3" t="inlineStr">
        <is>
          <t>Furniture</t>
        </is>
      </c>
      <c r="E298" s="3" t="inlineStr">
        <is>
          <t>West</t>
        </is>
      </c>
      <c r="F298" s="3" t="n">
        <v>2</v>
      </c>
      <c r="G298" s="4" t="n">
        <v>7800</v>
      </c>
      <c r="H298" s="5" t="n">
        <v>0.02</v>
      </c>
      <c r="I298" s="4" t="n">
        <v>15288</v>
      </c>
      <c r="J298" s="4" t="n">
        <v>8867.040000000001</v>
      </c>
      <c r="K298" s="4" t="n">
        <v>6420.96</v>
      </c>
      <c r="L298" s="3" t="inlineStr">
        <is>
          <t>Consumer</t>
        </is>
      </c>
    </row>
    <row r="299">
      <c r="A299" s="6" t="n">
        <v>45805</v>
      </c>
      <c r="B299" t="inlineStr">
        <is>
          <t>TH-0298</t>
        </is>
      </c>
      <c r="C299" t="inlineStr">
        <is>
          <t>Monitor</t>
        </is>
      </c>
      <c r="D299" t="inlineStr">
        <is>
          <t>Electronics</t>
        </is>
      </c>
      <c r="E299" t="inlineStr">
        <is>
          <t>South</t>
        </is>
      </c>
      <c r="F299" t="n">
        <v>2</v>
      </c>
      <c r="G299" s="7" t="n">
        <v>12500</v>
      </c>
      <c r="H299" s="8" t="n">
        <v>0</v>
      </c>
      <c r="I299" s="7" t="n">
        <v>25000</v>
      </c>
      <c r="J299" s="7" t="n">
        <v>16750</v>
      </c>
      <c r="K299" s="7" t="n">
        <v>8250</v>
      </c>
      <c r="L299" t="inlineStr">
        <is>
          <t>Corporate</t>
        </is>
      </c>
    </row>
    <row r="300">
      <c r="A300" s="2" t="n">
        <v>45985</v>
      </c>
      <c r="B300" s="3" t="inlineStr">
        <is>
          <t>TH-0299</t>
        </is>
      </c>
      <c r="C300" s="3" t="inlineStr">
        <is>
          <t>Notebook Pack</t>
        </is>
      </c>
      <c r="D300" s="3" t="inlineStr">
        <is>
          <t>Stationery</t>
        </is>
      </c>
      <c r="E300" s="3" t="inlineStr">
        <is>
          <t>West</t>
        </is>
      </c>
      <c r="F300" s="3" t="n">
        <v>3</v>
      </c>
      <c r="G300" s="4" t="n">
        <v>320</v>
      </c>
      <c r="H300" s="5" t="n">
        <v>0</v>
      </c>
      <c r="I300" s="4" t="n">
        <v>960</v>
      </c>
      <c r="J300" s="4" t="n">
        <v>336</v>
      </c>
      <c r="K300" s="4" t="n">
        <v>624</v>
      </c>
      <c r="L300" s="3" t="inlineStr">
        <is>
          <t>Small Business</t>
        </is>
      </c>
    </row>
    <row r="301">
      <c r="A301" s="6" t="n">
        <v>45932</v>
      </c>
      <c r="B301" t="inlineStr">
        <is>
          <t>TH-0300</t>
        </is>
      </c>
      <c r="C301" t="inlineStr">
        <is>
          <t>Laptop</t>
        </is>
      </c>
      <c r="D301" t="inlineStr">
        <is>
          <t>Electronics</t>
        </is>
      </c>
      <c r="E301" t="inlineStr">
        <is>
          <t>South</t>
        </is>
      </c>
      <c r="F301" t="n">
        <v>4</v>
      </c>
      <c r="G301" s="7" t="n">
        <v>42000</v>
      </c>
      <c r="H301" s="8" t="n">
        <v>0.1</v>
      </c>
      <c r="I301" s="7" t="n">
        <v>151200</v>
      </c>
      <c r="J301" s="7" t="n">
        <v>108864</v>
      </c>
      <c r="K301" s="7" t="n">
        <v>42336</v>
      </c>
      <c r="L301" t="inlineStr">
        <is>
          <t>Small Business</t>
        </is>
      </c>
    </row>
  </sheetData>
  <autoFilter ref="A1:L3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  <col width="20" customWidth="1" min="10" max="10"/>
    <col width="18" customWidth="1" min="11" max="11"/>
  </cols>
  <sheetData>
    <row r="1" ht="38" customHeight="1">
      <c r="A1" s="9" t="inlineStr">
        <is>
          <t>THIRANEX | SALES &amp; REVENUE ANALYSIS DASHBOARD</t>
        </is>
      </c>
      <c r="J1" s="10" t="inlineStr">
        <is>
          <t>Product</t>
        </is>
      </c>
      <c r="K1" s="10" t="inlineStr">
        <is>
          <t>Revenue (₹)</t>
        </is>
      </c>
    </row>
    <row r="2">
      <c r="A2" s="11" t="inlineStr">
        <is>
          <t>Sample training dataset • Jan–Dec 2025 • Change filters to explore</t>
        </is>
      </c>
      <c r="J2" t="inlineStr">
        <is>
          <t>Laptop</t>
        </is>
      </c>
      <c r="K2" s="12">
        <f>SUMPRODUCT(('Sales Data'!$C$2:$C$301=J2)*(IF($B$4="All",1,'Sales Data'!$E$2:$E$301=$B$4))*(IF($E$4="All",1,'Sales Data'!$D$2:$D$301=$E$4))*'Sales Data'!$I$2:$I$301)</f>
        <v/>
      </c>
    </row>
    <row r="3">
      <c r="J3" t="inlineStr">
        <is>
          <t>Wireless Mouse</t>
        </is>
      </c>
      <c r="K3" s="12">
        <f>SUMPRODUCT(('Sales Data'!$C$2:$C$301=J3)*(IF($B$4="All",1,'Sales Data'!$E$2:$E$301=$B$4))*(IF($E$4="All",1,'Sales Data'!$D$2:$D$301=$E$4))*'Sales Data'!$I$2:$I$301)</f>
        <v/>
      </c>
    </row>
    <row r="4">
      <c r="A4" s="13" t="inlineStr">
        <is>
          <t>Region Filter</t>
        </is>
      </c>
      <c r="B4" s="14" t="inlineStr">
        <is>
          <t>All</t>
        </is>
      </c>
      <c r="D4" s="13" t="inlineStr">
        <is>
          <t>Category Filter</t>
        </is>
      </c>
      <c r="E4" s="14" t="inlineStr">
        <is>
          <t>All</t>
        </is>
      </c>
      <c r="J4" t="inlineStr">
        <is>
          <t>Keyboard</t>
        </is>
      </c>
      <c r="K4" s="12">
        <f>SUMPRODUCT(('Sales Data'!$C$2:$C$301=J4)*(IF($B$4="All",1,'Sales Data'!$E$2:$E$301=$B$4))*(IF($E$4="All",1,'Sales Data'!$D$2:$D$301=$E$4))*'Sales Data'!$I$2:$I$301)</f>
        <v/>
      </c>
    </row>
    <row r="5">
      <c r="J5" t="inlineStr">
        <is>
          <t>Monitor</t>
        </is>
      </c>
      <c r="K5" s="12">
        <f>SUMPRODUCT(('Sales Data'!$C$2:$C$301=J5)*(IF($B$4="All",1,'Sales Data'!$E$2:$E$301=$B$4))*(IF($E$4="All",1,'Sales Data'!$D$2:$D$301=$E$4))*'Sales Data'!$I$2:$I$301)</f>
        <v/>
      </c>
    </row>
    <row r="6" ht="24" customHeight="1">
      <c r="A6" s="15" t="inlineStr">
        <is>
          <t>TOTAL REVENUE</t>
        </is>
      </c>
      <c r="C6" s="15" t="inlineStr">
        <is>
          <t>TOTAL PROFIT</t>
        </is>
      </c>
      <c r="E6" s="15" t="inlineStr">
        <is>
          <t>TOTAL ORDERS</t>
        </is>
      </c>
      <c r="G6" s="15" t="inlineStr">
        <is>
          <t>UNITS SOLD</t>
        </is>
      </c>
      <c r="J6" t="inlineStr">
        <is>
          <t>Office Chair</t>
        </is>
      </c>
      <c r="K6" s="12">
        <f>SUMPRODUCT(('Sales Data'!$C$2:$C$301=J6)*(IF($B$4="All",1,'Sales Data'!$E$2:$E$301=$B$4))*(IF($E$4="All",1,'Sales Data'!$D$2:$D$301=$E$4))*'Sales Data'!$I$2:$I$301)</f>
        <v/>
      </c>
    </row>
    <row r="7" ht="24" customHeight="1">
      <c r="A7" s="16">
        <f>SUMPRODUCT((IF($B$4="All",1,'Sales Data'!$E$2:$E$301=$B$4))*(IF($E$4="All",1,'Sales Data'!$D$2:$D$301=$E$4))*'Sales Data'!$I$2:$I$301)</f>
        <v/>
      </c>
      <c r="C7" s="16">
        <f>SUMPRODUCT((IF($B$4="All",1,'Sales Data'!$E$2:$E$301=$B$4))*(IF($E$4="All",1,'Sales Data'!$D$2:$D$301=$E$4))*'Sales Data'!$K$2:$K$301)</f>
        <v/>
      </c>
      <c r="E7" s="17">
        <f>SUMPRODUCT((IF($B$4="All",1,'Sales Data'!$E$2:$E$301=$B$4))*(IF($E$4="All",1,'Sales Data'!$D$2:$D$301=$E$4)))</f>
        <v/>
      </c>
      <c r="G7" s="17">
        <f>SUMPRODUCT((IF($B$4="All",1,'Sales Data'!$E$2:$E$301=$B$4))*(IF($E$4="All",1,'Sales Data'!$D$2:$D$301=$E$4))*'Sales Data'!$F$2:$F$301)</f>
        <v/>
      </c>
      <c r="J7" t="inlineStr">
        <is>
          <t>Desk</t>
        </is>
      </c>
      <c r="K7" s="12">
        <f>SUMPRODUCT(('Sales Data'!$C$2:$C$301=J7)*(IF($B$4="All",1,'Sales Data'!$E$2:$E$301=$B$4))*(IF($E$4="All",1,'Sales Data'!$D$2:$D$301=$E$4))*'Sales Data'!$I$2:$I$301)</f>
        <v/>
      </c>
    </row>
    <row r="8" ht="24" customHeight="1">
      <c r="J8" t="inlineStr">
        <is>
          <t>Headphones</t>
        </is>
      </c>
      <c r="K8" s="12">
        <f>SUMPRODUCT(('Sales Data'!$C$2:$C$301=J8)*(IF($B$4="All",1,'Sales Data'!$E$2:$E$301=$B$4))*(IF($E$4="All",1,'Sales Data'!$D$2:$D$301=$E$4))*'Sales Data'!$I$2:$I$301)</f>
        <v/>
      </c>
    </row>
    <row r="9">
      <c r="J9" t="inlineStr">
        <is>
          <t>USB-C Hub</t>
        </is>
      </c>
      <c r="K9" s="12">
        <f>SUMPRODUCT(('Sales Data'!$C$2:$C$301=J9)*(IF($B$4="All",1,'Sales Data'!$E$2:$E$301=$B$4))*(IF($E$4="All",1,'Sales Data'!$D$2:$D$301=$E$4))*'Sales Data'!$I$2:$I$301)</f>
        <v/>
      </c>
    </row>
    <row r="10">
      <c r="J10" t="inlineStr">
        <is>
          <t>Webcam</t>
        </is>
      </c>
      <c r="K10" s="12">
        <f>SUMPRODUCT(('Sales Data'!$C$2:$C$301=J10)*(IF($B$4="All",1,'Sales Data'!$E$2:$E$301=$B$4))*(IF($E$4="All",1,'Sales Data'!$D$2:$D$301=$E$4))*'Sales Data'!$I$2:$I$301)</f>
        <v/>
      </c>
    </row>
    <row r="11">
      <c r="J11" t="inlineStr">
        <is>
          <t>Notebook Pack</t>
        </is>
      </c>
      <c r="K11" s="12">
        <f>SUMPRODUCT(('Sales Data'!$C$2:$C$301=J11)*(IF($B$4="All",1,'Sales Data'!$E$2:$E$301=$B$4))*(IF($E$4="All",1,'Sales Data'!$D$2:$D$301=$E$4))*'Sales Data'!$I$2:$I$301)</f>
        <v/>
      </c>
    </row>
    <row r="12">
      <c r="J12" t="inlineStr">
        <is>
          <t>Printer</t>
        </is>
      </c>
      <c r="K12" s="12">
        <f>SUMPRODUCT(('Sales Data'!$C$2:$C$301=J12)*(IF($B$4="All",1,'Sales Data'!$E$2:$E$301=$B$4))*(IF($E$4="All",1,'Sales Data'!$D$2:$D$301=$E$4))*'Sales Data'!$I$2:$I$301)</f>
        <v/>
      </c>
    </row>
    <row r="13">
      <c r="J13" t="inlineStr">
        <is>
          <t>Desk Lamp</t>
        </is>
      </c>
      <c r="K13" s="12">
        <f>SUMPRODUCT(('Sales Data'!$C$2:$C$301=J13)*(IF($B$4="All",1,'Sales Data'!$E$2:$E$301=$B$4))*(IF($E$4="All",1,'Sales Data'!$D$2:$D$301=$E$4))*'Sales Data'!$I$2:$I$301)</f>
        <v/>
      </c>
    </row>
    <row r="16">
      <c r="J16" s="10" t="inlineStr">
        <is>
          <t>Category</t>
        </is>
      </c>
      <c r="K16" s="10" t="inlineStr">
        <is>
          <t>Revenue (₹)</t>
        </is>
      </c>
    </row>
    <row r="17">
      <c r="J17" t="inlineStr">
        <is>
          <t>Electronics</t>
        </is>
      </c>
      <c r="K17" s="12">
        <f>SUMPRODUCT(('Sales Data'!$D$2:$D$301=J17)*(IF($B$4="All",1,'Sales Data'!$E$2:$E$301=$B$4))*(IF($E$4="All",1,'Sales Data'!$D$2:$D$301=$E$4))*'Sales Data'!$I$2:$I$301)</f>
        <v/>
      </c>
    </row>
    <row r="18">
      <c r="J18" t="inlineStr">
        <is>
          <t>Accessories</t>
        </is>
      </c>
      <c r="K18" s="12">
        <f>SUMPRODUCT(('Sales Data'!$D$2:$D$301=J18)*(IF($B$4="All",1,'Sales Data'!$E$2:$E$301=$B$4))*(IF($E$4="All",1,'Sales Data'!$D$2:$D$301=$E$4))*'Sales Data'!$I$2:$I$301)</f>
        <v/>
      </c>
    </row>
    <row r="19">
      <c r="J19" t="inlineStr">
        <is>
          <t>Furniture</t>
        </is>
      </c>
      <c r="K19" s="12">
        <f>SUMPRODUCT(('Sales Data'!$D$2:$D$301=J19)*(IF($B$4="All",1,'Sales Data'!$E$2:$E$301=$B$4))*(IF($E$4="All",1,'Sales Data'!$D$2:$D$301=$E$4))*'Sales Data'!$I$2:$I$301)</f>
        <v/>
      </c>
    </row>
    <row r="20">
      <c r="J20" t="inlineStr">
        <is>
          <t>Stationery</t>
        </is>
      </c>
      <c r="K20" s="12">
        <f>SUMPRODUCT(('Sales Data'!$D$2:$D$301=J20)*(IF($B$4="All",1,'Sales Data'!$E$2:$E$301=$B$4))*(IF($E$4="All",1,'Sales Data'!$D$2:$D$301=$E$4))*'Sales Data'!$I$2:$I$301)</f>
        <v/>
      </c>
    </row>
  </sheetData>
  <mergeCells count="10">
    <mergeCell ref="E6:F6"/>
    <mergeCell ref="C6:D6"/>
    <mergeCell ref="G7:H8"/>
    <mergeCell ref="C7:D8"/>
    <mergeCell ref="A7:B8"/>
    <mergeCell ref="A2:H2"/>
    <mergeCell ref="E7:F8"/>
    <mergeCell ref="G6:H6"/>
    <mergeCell ref="A1:H1"/>
    <mergeCell ref="A6:B6"/>
  </mergeCells>
  <dataValidations count="2">
    <dataValidation sqref="B4" showDropDown="0" showInputMessage="0" showErrorMessage="0" allowBlank="0" type="list">
      <formula1>"All,North,South,East,West"</formula1>
    </dataValidation>
    <dataValidation sqref="E4" showDropDown="0" showInputMessage="0" showErrorMessage="0" allowBlank="0" type="list">
      <formula1>"All,Electronics,Accessories,Furniture,Stationery"</formula1>
    </dataValidation>
  </dataValidations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Month</t>
        </is>
      </c>
      <c r="B1" s="10" t="inlineStr">
        <is>
          <t>Revenue (₹)</t>
        </is>
      </c>
      <c r="C1" s="10" t="inlineStr">
        <is>
          <t>Profit (₹)</t>
        </is>
      </c>
      <c r="D1" s="10" t="inlineStr">
        <is>
          <t>Orders</t>
        </is>
      </c>
    </row>
    <row r="2">
      <c r="A2" s="18" t="n">
        <v>45658</v>
      </c>
      <c r="B2" s="19">
        <f>SUMPRODUCT(('Sales Data'!$A$2:$A$301&gt;=A2)*('Sales Data'!$A$2:$A$301&lt;EDATE(A2,1))*(IF(Dashboard!$B$4="All",1,'Sales Data'!$E$2:$E$301=Dashboard!$B$4))*(IF(Dashboard!$E$4="All",1,'Sales Data'!$D$2:$D$301=Dashboard!$E$4))*'Sales Data'!$I$2:$I$301)</f>
        <v/>
      </c>
      <c r="C2" s="19">
        <f>SUMPRODUCT(('Sales Data'!$A$2:$A$301&gt;=A2)*('Sales Data'!$A$2:$A$301&lt;EDATE(A2,1))*(IF(Dashboard!$B$4="All",1,'Sales Data'!$E$2:$E$301=Dashboard!$B$4))*(IF(Dashboard!$E$4="All",1,'Sales Data'!$D$2:$D$301=Dashboard!$E$4))*'Sales Data'!$K$2:$K$301)</f>
        <v/>
      </c>
      <c r="D2" s="20">
        <f>SUMPRODUCT(('Sales Data'!$A$2:$A$301&gt;=A2)*('Sales Data'!$A$2:$A$301&lt;EDATE(A2,1))*(IF(Dashboard!$B$4="All",1,'Sales Data'!$E$2:$E$301=Dashboard!$B$4))*(IF(Dashboard!$E$4="All",1,'Sales Data'!$D$2:$D$301=Dashboard!$E$4)))</f>
        <v/>
      </c>
    </row>
    <row r="3">
      <c r="A3" s="18" t="n">
        <v>45689</v>
      </c>
      <c r="B3" s="19">
        <f>SUMPRODUCT(('Sales Data'!$A$2:$A$301&gt;=A3)*('Sales Data'!$A$2:$A$301&lt;EDATE(A3,1))*(IF(Dashboard!$B$4="All",1,'Sales Data'!$E$2:$E$301=Dashboard!$B$4))*(IF(Dashboard!$E$4="All",1,'Sales Data'!$D$2:$D$301=Dashboard!$E$4))*'Sales Data'!$I$2:$I$301)</f>
        <v/>
      </c>
      <c r="C3" s="19">
        <f>SUMPRODUCT(('Sales Data'!$A$2:$A$301&gt;=A3)*('Sales Data'!$A$2:$A$301&lt;EDATE(A3,1))*(IF(Dashboard!$B$4="All",1,'Sales Data'!$E$2:$E$301=Dashboard!$B$4))*(IF(Dashboard!$E$4="All",1,'Sales Data'!$D$2:$D$301=Dashboard!$E$4))*'Sales Data'!$K$2:$K$301)</f>
        <v/>
      </c>
      <c r="D3" s="20">
        <f>SUMPRODUCT(('Sales Data'!$A$2:$A$301&gt;=A3)*('Sales Data'!$A$2:$A$301&lt;EDATE(A3,1))*(IF(Dashboard!$B$4="All",1,'Sales Data'!$E$2:$E$301=Dashboard!$B$4))*(IF(Dashboard!$E$4="All",1,'Sales Data'!$D$2:$D$301=Dashboard!$E$4)))</f>
        <v/>
      </c>
    </row>
    <row r="4">
      <c r="A4" s="18" t="n">
        <v>45717</v>
      </c>
      <c r="B4" s="19">
        <f>SUMPRODUCT(('Sales Data'!$A$2:$A$301&gt;=A4)*('Sales Data'!$A$2:$A$301&lt;EDATE(A4,1))*(IF(Dashboard!$B$4="All",1,'Sales Data'!$E$2:$E$301=Dashboard!$B$4))*(IF(Dashboard!$E$4="All",1,'Sales Data'!$D$2:$D$301=Dashboard!$E$4))*'Sales Data'!$I$2:$I$301)</f>
        <v/>
      </c>
      <c r="C4" s="19">
        <f>SUMPRODUCT(('Sales Data'!$A$2:$A$301&gt;=A4)*('Sales Data'!$A$2:$A$301&lt;EDATE(A4,1))*(IF(Dashboard!$B$4="All",1,'Sales Data'!$E$2:$E$301=Dashboard!$B$4))*(IF(Dashboard!$E$4="All",1,'Sales Data'!$D$2:$D$301=Dashboard!$E$4))*'Sales Data'!$K$2:$K$301)</f>
        <v/>
      </c>
      <c r="D4" s="20">
        <f>SUMPRODUCT(('Sales Data'!$A$2:$A$301&gt;=A4)*('Sales Data'!$A$2:$A$301&lt;EDATE(A4,1))*(IF(Dashboard!$B$4="All",1,'Sales Data'!$E$2:$E$301=Dashboard!$B$4))*(IF(Dashboard!$E$4="All",1,'Sales Data'!$D$2:$D$301=Dashboard!$E$4)))</f>
        <v/>
      </c>
    </row>
    <row r="5">
      <c r="A5" s="18" t="n">
        <v>45748</v>
      </c>
      <c r="B5" s="19">
        <f>SUMPRODUCT(('Sales Data'!$A$2:$A$301&gt;=A5)*('Sales Data'!$A$2:$A$301&lt;EDATE(A5,1))*(IF(Dashboard!$B$4="All",1,'Sales Data'!$E$2:$E$301=Dashboard!$B$4))*(IF(Dashboard!$E$4="All",1,'Sales Data'!$D$2:$D$301=Dashboard!$E$4))*'Sales Data'!$I$2:$I$301)</f>
        <v/>
      </c>
      <c r="C5" s="19">
        <f>SUMPRODUCT(('Sales Data'!$A$2:$A$301&gt;=A5)*('Sales Data'!$A$2:$A$301&lt;EDATE(A5,1))*(IF(Dashboard!$B$4="All",1,'Sales Data'!$E$2:$E$301=Dashboard!$B$4))*(IF(Dashboard!$E$4="All",1,'Sales Data'!$D$2:$D$301=Dashboard!$E$4))*'Sales Data'!$K$2:$K$301)</f>
        <v/>
      </c>
      <c r="D5" s="20">
        <f>SUMPRODUCT(('Sales Data'!$A$2:$A$301&gt;=A5)*('Sales Data'!$A$2:$A$301&lt;EDATE(A5,1))*(IF(Dashboard!$B$4="All",1,'Sales Data'!$E$2:$E$301=Dashboard!$B$4))*(IF(Dashboard!$E$4="All",1,'Sales Data'!$D$2:$D$301=Dashboard!$E$4)))</f>
        <v/>
      </c>
    </row>
    <row r="6">
      <c r="A6" s="18" t="n">
        <v>45778</v>
      </c>
      <c r="B6" s="19">
        <f>SUMPRODUCT(('Sales Data'!$A$2:$A$301&gt;=A6)*('Sales Data'!$A$2:$A$301&lt;EDATE(A6,1))*(IF(Dashboard!$B$4="All",1,'Sales Data'!$E$2:$E$301=Dashboard!$B$4))*(IF(Dashboard!$E$4="All",1,'Sales Data'!$D$2:$D$301=Dashboard!$E$4))*'Sales Data'!$I$2:$I$301)</f>
        <v/>
      </c>
      <c r="C6" s="19">
        <f>SUMPRODUCT(('Sales Data'!$A$2:$A$301&gt;=A6)*('Sales Data'!$A$2:$A$301&lt;EDATE(A6,1))*(IF(Dashboard!$B$4="All",1,'Sales Data'!$E$2:$E$301=Dashboard!$B$4))*(IF(Dashboard!$E$4="All",1,'Sales Data'!$D$2:$D$301=Dashboard!$E$4))*'Sales Data'!$K$2:$K$301)</f>
        <v/>
      </c>
      <c r="D6" s="20">
        <f>SUMPRODUCT(('Sales Data'!$A$2:$A$301&gt;=A6)*('Sales Data'!$A$2:$A$301&lt;EDATE(A6,1))*(IF(Dashboard!$B$4="All",1,'Sales Data'!$E$2:$E$301=Dashboard!$B$4))*(IF(Dashboard!$E$4="All",1,'Sales Data'!$D$2:$D$301=Dashboard!$E$4)))</f>
        <v/>
      </c>
    </row>
    <row r="7">
      <c r="A7" s="18" t="n">
        <v>45809</v>
      </c>
      <c r="B7" s="19">
        <f>SUMPRODUCT(('Sales Data'!$A$2:$A$301&gt;=A7)*('Sales Data'!$A$2:$A$301&lt;EDATE(A7,1))*(IF(Dashboard!$B$4="All",1,'Sales Data'!$E$2:$E$301=Dashboard!$B$4))*(IF(Dashboard!$E$4="All",1,'Sales Data'!$D$2:$D$301=Dashboard!$E$4))*'Sales Data'!$I$2:$I$301)</f>
        <v/>
      </c>
      <c r="C7" s="19">
        <f>SUMPRODUCT(('Sales Data'!$A$2:$A$301&gt;=A7)*('Sales Data'!$A$2:$A$301&lt;EDATE(A7,1))*(IF(Dashboard!$B$4="All",1,'Sales Data'!$E$2:$E$301=Dashboard!$B$4))*(IF(Dashboard!$E$4="All",1,'Sales Data'!$D$2:$D$301=Dashboard!$E$4))*'Sales Data'!$K$2:$K$301)</f>
        <v/>
      </c>
      <c r="D7" s="20">
        <f>SUMPRODUCT(('Sales Data'!$A$2:$A$301&gt;=A7)*('Sales Data'!$A$2:$A$301&lt;EDATE(A7,1))*(IF(Dashboard!$B$4="All",1,'Sales Data'!$E$2:$E$301=Dashboard!$B$4))*(IF(Dashboard!$E$4="All",1,'Sales Data'!$D$2:$D$301=Dashboard!$E$4)))</f>
        <v/>
      </c>
    </row>
    <row r="8">
      <c r="A8" s="18" t="n">
        <v>45839</v>
      </c>
      <c r="B8" s="19">
        <f>SUMPRODUCT(('Sales Data'!$A$2:$A$301&gt;=A8)*('Sales Data'!$A$2:$A$301&lt;EDATE(A8,1))*(IF(Dashboard!$B$4="All",1,'Sales Data'!$E$2:$E$301=Dashboard!$B$4))*(IF(Dashboard!$E$4="All",1,'Sales Data'!$D$2:$D$301=Dashboard!$E$4))*'Sales Data'!$I$2:$I$301)</f>
        <v/>
      </c>
      <c r="C8" s="19">
        <f>SUMPRODUCT(('Sales Data'!$A$2:$A$301&gt;=A8)*('Sales Data'!$A$2:$A$301&lt;EDATE(A8,1))*(IF(Dashboard!$B$4="All",1,'Sales Data'!$E$2:$E$301=Dashboard!$B$4))*(IF(Dashboard!$E$4="All",1,'Sales Data'!$D$2:$D$301=Dashboard!$E$4))*'Sales Data'!$K$2:$K$301)</f>
        <v/>
      </c>
      <c r="D8" s="20">
        <f>SUMPRODUCT(('Sales Data'!$A$2:$A$301&gt;=A8)*('Sales Data'!$A$2:$A$301&lt;EDATE(A8,1))*(IF(Dashboard!$B$4="All",1,'Sales Data'!$E$2:$E$301=Dashboard!$B$4))*(IF(Dashboard!$E$4="All",1,'Sales Data'!$D$2:$D$301=Dashboard!$E$4)))</f>
        <v/>
      </c>
    </row>
    <row r="9">
      <c r="A9" s="18" t="n">
        <v>45870</v>
      </c>
      <c r="B9" s="19">
        <f>SUMPRODUCT(('Sales Data'!$A$2:$A$301&gt;=A9)*('Sales Data'!$A$2:$A$301&lt;EDATE(A9,1))*(IF(Dashboard!$B$4="All",1,'Sales Data'!$E$2:$E$301=Dashboard!$B$4))*(IF(Dashboard!$E$4="All",1,'Sales Data'!$D$2:$D$301=Dashboard!$E$4))*'Sales Data'!$I$2:$I$301)</f>
        <v/>
      </c>
      <c r="C9" s="19">
        <f>SUMPRODUCT(('Sales Data'!$A$2:$A$301&gt;=A9)*('Sales Data'!$A$2:$A$301&lt;EDATE(A9,1))*(IF(Dashboard!$B$4="All",1,'Sales Data'!$E$2:$E$301=Dashboard!$B$4))*(IF(Dashboard!$E$4="All",1,'Sales Data'!$D$2:$D$301=Dashboard!$E$4))*'Sales Data'!$K$2:$K$301)</f>
        <v/>
      </c>
      <c r="D9" s="20">
        <f>SUMPRODUCT(('Sales Data'!$A$2:$A$301&gt;=A9)*('Sales Data'!$A$2:$A$301&lt;EDATE(A9,1))*(IF(Dashboard!$B$4="All",1,'Sales Data'!$E$2:$E$301=Dashboard!$B$4))*(IF(Dashboard!$E$4="All",1,'Sales Data'!$D$2:$D$301=Dashboard!$E$4)))</f>
        <v/>
      </c>
    </row>
    <row r="10">
      <c r="A10" s="18" t="n">
        <v>45901</v>
      </c>
      <c r="B10" s="19">
        <f>SUMPRODUCT(('Sales Data'!$A$2:$A$301&gt;=A10)*('Sales Data'!$A$2:$A$301&lt;EDATE(A10,1))*(IF(Dashboard!$B$4="All",1,'Sales Data'!$E$2:$E$301=Dashboard!$B$4))*(IF(Dashboard!$E$4="All",1,'Sales Data'!$D$2:$D$301=Dashboard!$E$4))*'Sales Data'!$I$2:$I$301)</f>
        <v/>
      </c>
      <c r="C10" s="19">
        <f>SUMPRODUCT(('Sales Data'!$A$2:$A$301&gt;=A10)*('Sales Data'!$A$2:$A$301&lt;EDATE(A10,1))*(IF(Dashboard!$B$4="All",1,'Sales Data'!$E$2:$E$301=Dashboard!$B$4))*(IF(Dashboard!$E$4="All",1,'Sales Data'!$D$2:$D$301=Dashboard!$E$4))*'Sales Data'!$K$2:$K$301)</f>
        <v/>
      </c>
      <c r="D10" s="20">
        <f>SUMPRODUCT(('Sales Data'!$A$2:$A$301&gt;=A10)*('Sales Data'!$A$2:$A$301&lt;EDATE(A10,1))*(IF(Dashboard!$B$4="All",1,'Sales Data'!$E$2:$E$301=Dashboard!$B$4))*(IF(Dashboard!$E$4="All",1,'Sales Data'!$D$2:$D$301=Dashboard!$E$4)))</f>
        <v/>
      </c>
    </row>
    <row r="11">
      <c r="A11" s="18" t="n">
        <v>45931</v>
      </c>
      <c r="B11" s="19">
        <f>SUMPRODUCT(('Sales Data'!$A$2:$A$301&gt;=A11)*('Sales Data'!$A$2:$A$301&lt;EDATE(A11,1))*(IF(Dashboard!$B$4="All",1,'Sales Data'!$E$2:$E$301=Dashboard!$B$4))*(IF(Dashboard!$E$4="All",1,'Sales Data'!$D$2:$D$301=Dashboard!$E$4))*'Sales Data'!$I$2:$I$301)</f>
        <v/>
      </c>
      <c r="C11" s="19">
        <f>SUMPRODUCT(('Sales Data'!$A$2:$A$301&gt;=A11)*('Sales Data'!$A$2:$A$301&lt;EDATE(A11,1))*(IF(Dashboard!$B$4="All",1,'Sales Data'!$E$2:$E$301=Dashboard!$B$4))*(IF(Dashboard!$E$4="All",1,'Sales Data'!$D$2:$D$301=Dashboard!$E$4))*'Sales Data'!$K$2:$K$301)</f>
        <v/>
      </c>
      <c r="D11" s="20">
        <f>SUMPRODUCT(('Sales Data'!$A$2:$A$301&gt;=A11)*('Sales Data'!$A$2:$A$301&lt;EDATE(A11,1))*(IF(Dashboard!$B$4="All",1,'Sales Data'!$E$2:$E$301=Dashboard!$B$4))*(IF(Dashboard!$E$4="All",1,'Sales Data'!$D$2:$D$301=Dashboard!$E$4)))</f>
        <v/>
      </c>
    </row>
    <row r="12">
      <c r="A12" s="18" t="n">
        <v>45962</v>
      </c>
      <c r="B12" s="19">
        <f>SUMPRODUCT(('Sales Data'!$A$2:$A$301&gt;=A12)*('Sales Data'!$A$2:$A$301&lt;EDATE(A12,1))*(IF(Dashboard!$B$4="All",1,'Sales Data'!$E$2:$E$301=Dashboard!$B$4))*(IF(Dashboard!$E$4="All",1,'Sales Data'!$D$2:$D$301=Dashboard!$E$4))*'Sales Data'!$I$2:$I$301)</f>
        <v/>
      </c>
      <c r="C12" s="19">
        <f>SUMPRODUCT(('Sales Data'!$A$2:$A$301&gt;=A12)*('Sales Data'!$A$2:$A$301&lt;EDATE(A12,1))*(IF(Dashboard!$B$4="All",1,'Sales Data'!$E$2:$E$301=Dashboard!$B$4))*(IF(Dashboard!$E$4="All",1,'Sales Data'!$D$2:$D$301=Dashboard!$E$4))*'Sales Data'!$K$2:$K$301)</f>
        <v/>
      </c>
      <c r="D12" s="20">
        <f>SUMPRODUCT(('Sales Data'!$A$2:$A$301&gt;=A12)*('Sales Data'!$A$2:$A$301&lt;EDATE(A12,1))*(IF(Dashboard!$B$4="All",1,'Sales Data'!$E$2:$E$301=Dashboard!$B$4))*(IF(Dashboard!$E$4="All",1,'Sales Data'!$D$2:$D$301=Dashboard!$E$4)))</f>
        <v/>
      </c>
    </row>
    <row r="13">
      <c r="A13" s="18" t="n">
        <v>45992</v>
      </c>
      <c r="B13" s="19">
        <f>SUMPRODUCT(('Sales Data'!$A$2:$A$301&gt;=A13)*('Sales Data'!$A$2:$A$301&lt;EDATE(A13,1))*(IF(Dashboard!$B$4="All",1,'Sales Data'!$E$2:$E$301=Dashboard!$B$4))*(IF(Dashboard!$E$4="All",1,'Sales Data'!$D$2:$D$301=Dashboard!$E$4))*'Sales Data'!$I$2:$I$301)</f>
        <v/>
      </c>
      <c r="C13" s="19">
        <f>SUMPRODUCT(('Sales Data'!$A$2:$A$301&gt;=A13)*('Sales Data'!$A$2:$A$301&lt;EDATE(A13,1))*(IF(Dashboard!$B$4="All",1,'Sales Data'!$E$2:$E$301=Dashboard!$B$4))*(IF(Dashboard!$E$4="All",1,'Sales Data'!$D$2:$D$301=Dashboard!$E$4))*'Sales Data'!$K$2:$K$301)</f>
        <v/>
      </c>
      <c r="D13" s="20">
        <f>SUMPRODUCT(('Sales Data'!$A$2:$A$301&gt;=A13)*('Sales Data'!$A$2:$A$301&lt;EDATE(A13,1))*(IF(Dashboard!$B$4="All",1,'Sales Data'!$E$2:$E$301=Dashboard!$B$4))*(IF(Dashboard!$E$4="All",1,'Sales Data'!$D$2:$D$301=Dashboard!$E$4)))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1" t="inlineStr">
        <is>
          <t>THIRANEX TASK 1 — COMPLETION GUIDE</t>
        </is>
      </c>
    </row>
    <row r="2"/>
    <row r="3" ht="42" customHeight="1">
      <c r="A3" s="22" t="inlineStr">
        <is>
          <t>1. Open the workbook</t>
        </is>
      </c>
      <c r="B3" s="23" t="inlineStr">
        <is>
          <t>Open this file in Microsoft Excel (desktop Excel recommended). Enable editing if prompted.</t>
        </is>
      </c>
    </row>
    <row r="4" ht="42" customHeight="1">
      <c r="A4" s="22" t="inlineStr">
        <is>
          <t>2. Explore the data</t>
        </is>
      </c>
      <c r="B4" s="23" t="inlineStr">
        <is>
          <t>Go to Sales Data. The workbook contains 300 sample orders across 2025, with products, categories, regions, quantities, revenue, costs and profit.</t>
        </is>
      </c>
    </row>
    <row r="5" ht="42" customHeight="1">
      <c r="A5" s="22" t="inlineStr">
        <is>
          <t>3. Use dashboard filters</t>
        </is>
      </c>
      <c r="B5" s="23" t="inlineStr">
        <is>
          <t>Go to Dashboard. Change the blue dropdown cells B4 (Region) and E4 (Category) to filter KPIs and charts. Choose All to reset.</t>
        </is>
      </c>
    </row>
    <row r="6" ht="42" customHeight="1">
      <c r="A6" s="22" t="inlineStr">
        <is>
          <t>4. Refresh / recalculate</t>
        </is>
      </c>
      <c r="B6" s="23" t="inlineStr">
        <is>
          <t>Formulas recalculate when the workbook opens in Excel. If needed, press Ctrl+Alt+F9.</t>
        </is>
      </c>
    </row>
    <row r="7" ht="42" customHeight="1">
      <c r="A7" s="22" t="inlineStr">
        <is>
          <t>5. Review the insights</t>
        </is>
      </c>
      <c r="B7" s="23" t="inlineStr">
        <is>
          <t>Compare monthly revenue, product revenue, and category contribution. Write 3–4 observations in your submission notes.</t>
        </is>
      </c>
    </row>
    <row r="8" ht="42" customHeight="1">
      <c r="A8" s="22" t="inlineStr">
        <is>
          <t>6. Capture screenshots</t>
        </is>
      </c>
      <c r="B8" s="23" t="inlineStr">
        <is>
          <t>Take a clear screenshot of the Dashboard and, if required, the Sales Data table. Make sure filters and KPI values are visible.</t>
        </is>
      </c>
    </row>
    <row r="9" ht="42" customHeight="1">
      <c r="A9" s="22" t="inlineStr">
        <is>
          <t>7. Submit on Thiranex</t>
        </is>
      </c>
      <c r="B9" s="23" t="inlineStr">
        <is>
          <t>On the task card, click Submit Work. Upload this workbook if accepted, plus any requested PDF/screenshots. Add a short project description.</t>
        </is>
      </c>
    </row>
    <row r="10"/>
    <row r="11"/>
    <row r="12">
      <c r="A12" s="24" t="inlineStr">
        <is>
          <t>Important</t>
        </is>
      </c>
      <c r="B12" s="23" t="inlineStr">
        <is>
          <t>This workbook uses a generated sample dataset for practice. Do not claim it is company-provided or real business data. If Thiranex later supplies a dataset, replace the sample data and validate the results.</t>
        </is>
      </c>
    </row>
    <row r="13"/>
  </sheetData>
  <mergeCells count="9">
    <mergeCell ref="B4:F4"/>
    <mergeCell ref="B7:F7"/>
    <mergeCell ref="B6:F6"/>
    <mergeCell ref="B12:F13"/>
    <mergeCell ref="A1:F1"/>
    <mergeCell ref="B3:F3"/>
    <mergeCell ref="B5:F5"/>
    <mergeCell ref="B8:F8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2026-10-25T05:05:24Z</dcterms:created>
  <dcterms:modified xmlns:dcterms="http://purl.org/dc/terms/" xmlns:xsi="http://www.w3.org/2001/XMLSchema-instance" xsi:type="dcterms:W3CDTF">2026-10-25T05:05:24Z</dcterms:modified>
</cp:coreProperties>
</file>